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atrick.pasquillo\Documents\GitHub\Universal\noprofit\en\11255\"/>
    </mc:Choice>
  </mc:AlternateContent>
  <xr:revisionPtr revIDLastSave="0" documentId="13_ncr:1_{B8C27F2B-9ECA-48EA-98F6-1411ACF05CA7}" xr6:coauthVersionLast="47" xr6:coauthVersionMax="47" xr10:uidLastSave="{00000000-0000-0000-0000-000000000000}"/>
  <bookViews>
    <workbookView xWindow="28680" yWindow="-120" windowWidth="29040" windowHeight="15720" tabRatio="692" xr2:uid="{8907ADCE-C3F1-4516-963F-08DDED88069F}"/>
  </bookViews>
  <sheets>
    <sheet name="General information" sheetId="7" r:id="rId1"/>
    <sheet name="Statement of Financial Position" sheetId="1" r:id="rId2"/>
    <sheet name="Statement of Income &amp; Expenses" sheetId="3" r:id="rId3"/>
    <sheet name="Statement of Changes NetAssets" sheetId="6" r:id="rId4"/>
    <sheet name="Cash Flows Statement - indirect" sheetId="5" r:id="rId5"/>
    <sheet name="Notes of Financial Statement" sheetId="4" r:id="rId6"/>
    <sheet name="Notes of Income Statement" sheetId="10" r:id="rId7"/>
    <sheet name="Notes of Cash flows statement" sheetId="9" r:id="rId8"/>
    <sheet name="Additional INPAS Notes" sheetId="11" r:id="rId9"/>
  </sheets>
  <definedNames>
    <definedName name="_xlnm.Print_Area" localSheetId="4">'Cash Flows Statement - indirect'!$A$1:$E$56</definedName>
    <definedName name="_xlnm.Print_Area" localSheetId="0">'General information'!$A$1:$G$28</definedName>
    <definedName name="_xlnm.Print_Area" localSheetId="7">'Notes of Cash flows statement'!$A$1:$L$43</definedName>
    <definedName name="_xlnm.Print_Area" localSheetId="5">'Notes of Financial Statement'!$A$1:$D$83</definedName>
    <definedName name="_xlnm.Print_Area" localSheetId="6">'Notes of Income Statement'!$A$1:$D$40</definedName>
    <definedName name="_xlnm.Print_Area" localSheetId="3">'Statement of Changes NetAssets'!$A$1:$E$25</definedName>
    <definedName name="_xlnm.Print_Area" localSheetId="1">'Statement of Financial Position'!$A$1:$E$50</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1" l="1"/>
  <c r="C6" i="11"/>
  <c r="B6" i="11"/>
  <c r="B5" i="11"/>
  <c r="C43" i="9"/>
  <c r="C37" i="9"/>
  <c r="C31" i="9"/>
  <c r="C25" i="9"/>
  <c r="C19" i="9"/>
  <c r="C12" i="9"/>
  <c r="B5" i="9"/>
  <c r="B4" i="9"/>
  <c r="B3" i="9"/>
  <c r="B2" i="9"/>
  <c r="C39" i="10"/>
  <c r="C38" i="10"/>
  <c r="C37" i="10"/>
  <c r="C36" i="10"/>
  <c r="C35" i="10"/>
  <c r="C34" i="10"/>
  <c r="C30" i="10"/>
  <c r="C29" i="10"/>
  <c r="C28" i="10"/>
  <c r="C27" i="10"/>
  <c r="C26" i="10"/>
  <c r="C25" i="10"/>
  <c r="C24" i="10"/>
  <c r="C23" i="10"/>
  <c r="C31" i="10" s="1"/>
  <c r="C19" i="10"/>
  <c r="C18" i="10"/>
  <c r="C17" i="10"/>
  <c r="C16" i="10"/>
  <c r="C15" i="10"/>
  <c r="C14" i="10"/>
  <c r="C13" i="10"/>
  <c r="C12" i="10"/>
  <c r="C11" i="10"/>
  <c r="C10" i="10"/>
  <c r="C20" i="10" s="1"/>
  <c r="C40" i="10" s="1"/>
  <c r="B5" i="10"/>
  <c r="B4" i="10"/>
  <c r="B3" i="10"/>
  <c r="B2" i="10"/>
  <c r="C82" i="4"/>
  <c r="C81" i="4"/>
  <c r="C80" i="4"/>
  <c r="C79" i="4"/>
  <c r="C78" i="4"/>
  <c r="C77" i="4"/>
  <c r="C76" i="4"/>
  <c r="C83" i="4" s="1"/>
  <c r="C72" i="4"/>
  <c r="C71" i="4"/>
  <c r="C70" i="4"/>
  <c r="C73" i="4" s="1"/>
  <c r="C66" i="4"/>
  <c r="C65" i="4"/>
  <c r="C64" i="4"/>
  <c r="C63" i="4"/>
  <c r="C62" i="4"/>
  <c r="C61" i="4"/>
  <c r="C67" i="4" s="1"/>
  <c r="C57" i="4"/>
  <c r="C56" i="4"/>
  <c r="C55" i="4"/>
  <c r="C54" i="4"/>
  <c r="C58" i="4" s="1"/>
  <c r="C50" i="4"/>
  <c r="C49" i="4"/>
  <c r="C48" i="4"/>
  <c r="C31" i="4"/>
  <c r="C51" i="4" s="1"/>
  <c r="B5" i="4"/>
  <c r="B4" i="4"/>
  <c r="B3" i="4"/>
  <c r="B2" i="4"/>
  <c r="E47" i="5"/>
  <c r="E46" i="5"/>
  <c r="C10" i="9" s="1"/>
  <c r="E42" i="5"/>
  <c r="E38" i="5"/>
  <c r="E32" i="5"/>
  <c r="B5" i="5"/>
  <c r="B4" i="5"/>
  <c r="B3" i="5"/>
  <c r="B2" i="5"/>
  <c r="E23" i="6"/>
  <c r="B5" i="6"/>
  <c r="B4" i="6"/>
  <c r="B3" i="6"/>
  <c r="B2" i="6"/>
  <c r="E40" i="3"/>
  <c r="D40" i="3"/>
  <c r="E31" i="3"/>
  <c r="D31" i="3"/>
  <c r="E20" i="3"/>
  <c r="E33" i="3" s="1"/>
  <c r="E41" i="3" s="1"/>
  <c r="D20" i="3"/>
  <c r="D33" i="3" s="1"/>
  <c r="D41" i="3" s="1"/>
  <c r="B5" i="3"/>
  <c r="B4" i="3"/>
  <c r="B3" i="3"/>
  <c r="B2" i="3"/>
  <c r="E49" i="1"/>
  <c r="D49" i="1"/>
  <c r="E39" i="1"/>
  <c r="D39" i="1"/>
  <c r="E33" i="1"/>
  <c r="E50" i="1" s="1"/>
  <c r="D33" i="1"/>
  <c r="E22" i="1"/>
  <c r="D22" i="1"/>
  <c r="D15" i="1"/>
  <c r="D23" i="1" s="1"/>
  <c r="E12" i="1"/>
  <c r="E15" i="1" s="1"/>
  <c r="E23" i="1" s="1"/>
  <c r="B5" i="1"/>
  <c r="B4" i="1"/>
  <c r="B3" i="1"/>
  <c r="B2" i="1"/>
  <c r="D50" i="1" l="1"/>
  <c r="D53" i="1" s="1"/>
  <c r="B53" i="1" s="1"/>
  <c r="D10" i="6"/>
  <c r="E34" i="5"/>
  <c r="E27" i="5"/>
  <c r="E12" i="5"/>
  <c r="E9" i="5"/>
  <c r="E17" i="6"/>
  <c r="E12" i="6"/>
  <c r="E9" i="6"/>
  <c r="D17" i="6"/>
  <c r="D12" i="6"/>
  <c r="D9" i="6"/>
  <c r="E13" i="6"/>
  <c r="E15" i="6" s="1"/>
  <c r="E10" i="5"/>
  <c r="E25" i="5" s="1"/>
  <c r="E40" i="5" s="1"/>
  <c r="E9" i="3"/>
  <c r="E22" i="3"/>
  <c r="D22" i="3"/>
  <c r="D9" i="3"/>
  <c r="E25" i="1"/>
  <c r="E9" i="1"/>
  <c r="D25" i="1"/>
  <c r="D9" i="1"/>
  <c r="E54" i="1"/>
  <c r="B54" i="1" s="1"/>
  <c r="E25" i="6" l="1"/>
  <c r="E43" i="5"/>
  <c r="E45" i="5" s="1"/>
  <c r="E48" i="5" s="1"/>
  <c r="C11" i="9"/>
  <c r="C13" i="9" s="1"/>
</calcChain>
</file>

<file path=xl/sharedStrings.xml><?xml version="1.0" encoding="utf-8"?>
<sst xmlns="http://schemas.openxmlformats.org/spreadsheetml/2006/main" count="518" uniqueCount="349">
  <si>
    <t>Company name and legal form</t>
  </si>
  <si>
    <t>No-ProfitName LegalForm</t>
  </si>
  <si>
    <t>The domicile</t>
  </si>
  <si>
    <t>Address 1234, Country</t>
  </si>
  <si>
    <t>Country of incorporation</t>
  </si>
  <si>
    <t>Country</t>
  </si>
  <si>
    <t>Address of entity's registered office</t>
  </si>
  <si>
    <t>Addres 1234</t>
  </si>
  <si>
    <t>Name of the reporting entity</t>
  </si>
  <si>
    <t xml:space="preserve">No-ProfitNameReporting, department Accountacy </t>
  </si>
  <si>
    <t>Principal place of business</t>
  </si>
  <si>
    <t>Address 12345, Country A</t>
  </si>
  <si>
    <t>Start period</t>
  </si>
  <si>
    <t>End period</t>
  </si>
  <si>
    <t>Description of nature of entity's operations and principal activities</t>
  </si>
  <si>
    <t>During the financial year the principal continuing activities of the company</t>
  </si>
  <si>
    <t>Activity A</t>
  </si>
  <si>
    <t>Activity B</t>
  </si>
  <si>
    <t>Activity C</t>
  </si>
  <si>
    <t>Activity D</t>
  </si>
  <si>
    <t>Currency</t>
  </si>
  <si>
    <t>EUR</t>
  </si>
  <si>
    <t>Contents</t>
  </si>
  <si>
    <t>Notes of Financial Statement</t>
  </si>
  <si>
    <t>Identifying information of no-profit</t>
  </si>
  <si>
    <t>Account</t>
  </si>
  <si>
    <t>ASSETS</t>
  </si>
  <si>
    <t>Notes</t>
  </si>
  <si>
    <t>Non current Assets</t>
  </si>
  <si>
    <t>Investment</t>
  </si>
  <si>
    <t>Investment in associate</t>
  </si>
  <si>
    <t>Property</t>
  </si>
  <si>
    <t>Property, plant and equipment</t>
  </si>
  <si>
    <t>Intangible Assets</t>
  </si>
  <si>
    <t>Intangible assets</t>
  </si>
  <si>
    <t>Deferred Tax Asset</t>
  </si>
  <si>
    <t>Deferred tax asset</t>
  </si>
  <si>
    <t>Total non-current assets</t>
  </si>
  <si>
    <t>Current Assets</t>
  </si>
  <si>
    <t>Cash</t>
  </si>
  <si>
    <t>Receivables</t>
  </si>
  <si>
    <t>Inventories</t>
  </si>
  <si>
    <t>Total current assets</t>
  </si>
  <si>
    <t>TOTAL ASSETS</t>
  </si>
  <si>
    <t>EQUITY AND LIABILITIES</t>
  </si>
  <si>
    <t>Net Assets</t>
  </si>
  <si>
    <t>Unrestricted Funds</t>
  </si>
  <si>
    <t>Funds without restrictions</t>
  </si>
  <si>
    <t>Equity</t>
  </si>
  <si>
    <t>Non-controlling Int</t>
  </si>
  <si>
    <t>Non-controlling interests</t>
  </si>
  <si>
    <t>Total Net Assets</t>
  </si>
  <si>
    <t>Non-current liabilities</t>
  </si>
  <si>
    <t>Loans</t>
  </si>
  <si>
    <t>LT Emp Benefit Oblig</t>
  </si>
  <si>
    <t>Long-term employee benefit obligations</t>
  </si>
  <si>
    <t>Lease Oblig</t>
  </si>
  <si>
    <t>Obligations under finance leases</t>
  </si>
  <si>
    <t>Total non-current liabilities</t>
  </si>
  <si>
    <t>Current liabilities</t>
  </si>
  <si>
    <t>Bank Overdraft</t>
  </si>
  <si>
    <t>Bank overdraft</t>
  </si>
  <si>
    <t>Payables</t>
  </si>
  <si>
    <t>Interest Payable</t>
  </si>
  <si>
    <t>Interest payable</t>
  </si>
  <si>
    <t>Current Tax Liability</t>
  </si>
  <si>
    <t>Current tax liability</t>
  </si>
  <si>
    <t>Emp Benefit Portion</t>
  </si>
  <si>
    <t>Current portion of employee benefit obligations</t>
  </si>
  <si>
    <t>Lease Oblig Portion</t>
  </si>
  <si>
    <t>Current portion of obligations under finance leases</t>
  </si>
  <si>
    <t>Total current liabilities</t>
  </si>
  <si>
    <t>TOTAL EQUITY AND LIABILITIES</t>
  </si>
  <si>
    <t>Check</t>
  </si>
  <si>
    <t>INCOME</t>
  </si>
  <si>
    <t>Non‑Curr Asset Grants</t>
  </si>
  <si>
    <t>[+] Grants for and donations of non‑current assets</t>
  </si>
  <si>
    <t>Sales</t>
  </si>
  <si>
    <t>[+] Sales of services and goods</t>
  </si>
  <si>
    <t>Interest Income</t>
  </si>
  <si>
    <t>[+] Interest income</t>
  </si>
  <si>
    <t>Other Income</t>
  </si>
  <si>
    <t>[+] Other income</t>
  </si>
  <si>
    <t>TOTAL INCOME</t>
  </si>
  <si>
    <t>EXPENSES</t>
  </si>
  <si>
    <t>Expenses</t>
  </si>
  <si>
    <t>Depreciation</t>
  </si>
  <si>
    <t>[-] Depreciation and amortisation expenses</t>
  </si>
  <si>
    <t>Impairment Expenses</t>
  </si>
  <si>
    <t>[-] Impairment expenses</t>
  </si>
  <si>
    <t>Interest Expenses</t>
  </si>
  <si>
    <t>[-] Interest expenses</t>
  </si>
  <si>
    <t>Other Expenses</t>
  </si>
  <si>
    <t>[-] Other expenses</t>
  </si>
  <si>
    <t>TOTAL EXPENSES</t>
  </si>
  <si>
    <t>Surplus or deficit from operating activities</t>
  </si>
  <si>
    <t>Assoc Surplus Share</t>
  </si>
  <si>
    <t>Asset Disposal Gain/Loss</t>
  </si>
  <si>
    <t>FX UnrealGain/Loss</t>
  </si>
  <si>
    <t>Defined Benefit Plans</t>
  </si>
  <si>
    <t>Financial Instruments</t>
  </si>
  <si>
    <t>Investment Property</t>
  </si>
  <si>
    <t>EQB</t>
  </si>
  <si>
    <t>Code</t>
  </si>
  <si>
    <t>PLE</t>
  </si>
  <si>
    <t>OCI</t>
  </si>
  <si>
    <t>EQE</t>
  </si>
  <si>
    <t>PLC</t>
  </si>
  <si>
    <t>Net cash flows from operating activities</t>
  </si>
  <si>
    <t>Cash flows from investing activities</t>
  </si>
  <si>
    <t>Net cash flows from investing activities</t>
  </si>
  <si>
    <t>Cash flows from financing activities</t>
  </si>
  <si>
    <t>Net cash flows from financing activities</t>
  </si>
  <si>
    <t>Net increase (decrease) in cash and cash equivalents before effect of exchange rate changes</t>
  </si>
  <si>
    <t>Cash and cash equivalents at beginning of period</t>
  </si>
  <si>
    <t>Cash and cash equivalents at end of period</t>
  </si>
  <si>
    <t>Others notes</t>
  </si>
  <si>
    <t>Explanation of investing and financing transactions not requiring use of cash or cash equivalents</t>
  </si>
  <si>
    <t>Description of acquisition of assets by assuming directly related liabilities or means of finance lease</t>
  </si>
  <si>
    <t>Commentary by management on significant cash and cash equivalent balances held by entity that are not available for use by group</t>
  </si>
  <si>
    <t>Significant accounting policies</t>
  </si>
  <si>
    <t>Note nr.</t>
  </si>
  <si>
    <t>Non-current assets</t>
  </si>
  <si>
    <t>Amount</t>
  </si>
  <si>
    <t>Land</t>
  </si>
  <si>
    <t>Buildings</t>
  </si>
  <si>
    <t>Machinery</t>
  </si>
  <si>
    <t>Ships</t>
  </si>
  <si>
    <t>Aircraft</t>
  </si>
  <si>
    <t>Motor vehicles</t>
  </si>
  <si>
    <t>Fixtures and fittings</t>
  </si>
  <si>
    <t>Office equipment</t>
  </si>
  <si>
    <t>Bearer plants</t>
  </si>
  <si>
    <t>2.10</t>
  </si>
  <si>
    <t>Tangible exploration and evaluation assets</t>
  </si>
  <si>
    <t>2.11</t>
  </si>
  <si>
    <t>Mining assets</t>
  </si>
  <si>
    <t>2.12</t>
  </si>
  <si>
    <t>Oil and gas assets</t>
  </si>
  <si>
    <t>2.13</t>
  </si>
  <si>
    <t>Construction in progress</t>
  </si>
  <si>
    <t>2.14</t>
  </si>
  <si>
    <t>Owner-occupied property measured using investment property fair value model</t>
  </si>
  <si>
    <t>2.15</t>
  </si>
  <si>
    <t>Other property, plant and equipment</t>
  </si>
  <si>
    <t>Total property, plant and equipment</t>
  </si>
  <si>
    <t>Intangibile assets</t>
  </si>
  <si>
    <t>Current assets</t>
  </si>
  <si>
    <t>Net assets</t>
  </si>
  <si>
    <t>Total net assets</t>
  </si>
  <si>
    <t>Income</t>
  </si>
  <si>
    <t>Total income</t>
  </si>
  <si>
    <t>Total expenses</t>
  </si>
  <si>
    <t>Total Commentary by management on significant cash and cash equivalent balances held by entity that are not available for use by group</t>
  </si>
  <si>
    <t>Profit or Loss</t>
  </si>
  <si>
    <t>[+] Profit [-] Loss</t>
  </si>
  <si>
    <t>FNR</t>
  </si>
  <si>
    <t>NCI</t>
  </si>
  <si>
    <t>DAE</t>
  </si>
  <si>
    <t>IE</t>
  </si>
  <si>
    <t>SSA</t>
  </si>
  <si>
    <t>GLDA</t>
  </si>
  <si>
    <t>UGLFED</t>
  </si>
  <si>
    <t>Bank</t>
  </si>
  <si>
    <t>6</t>
  </si>
  <si>
    <t>7</t>
  </si>
  <si>
    <t>8</t>
  </si>
  <si>
    <t>9</t>
  </si>
  <si>
    <t>General Information</t>
  </si>
  <si>
    <t>2.1</t>
  </si>
  <si>
    <t>DPPE</t>
  </si>
  <si>
    <t>CG</t>
  </si>
  <si>
    <t>IDWIP</t>
  </si>
  <si>
    <t>IDOCA</t>
  </si>
  <si>
    <t>IDOCL</t>
  </si>
  <si>
    <t>IDOC</t>
  </si>
  <si>
    <t>IDA</t>
  </si>
  <si>
    <t>APPE</t>
  </si>
  <si>
    <t>AIA</t>
  </si>
  <si>
    <t>RGPPE</t>
  </si>
  <si>
    <t>DISP</t>
  </si>
  <si>
    <t>RBOR</t>
  </si>
  <si>
    <t>MSR</t>
  </si>
  <si>
    <t>MSI</t>
  </si>
  <si>
    <t>Opening cash and cash equivalents</t>
  </si>
  <si>
    <t>Foreign exchange differences</t>
  </si>
  <si>
    <t>FED</t>
  </si>
  <si>
    <t>MCCE</t>
  </si>
  <si>
    <t>OCCE</t>
  </si>
  <si>
    <t>[+] Grants and donations unrestricted</t>
  </si>
  <si>
    <t>Grants unrestricted</t>
  </si>
  <si>
    <t>Grants restricted Project 1</t>
  </si>
  <si>
    <t>[+] Grants and donations restricted Project 1</t>
  </si>
  <si>
    <t>Restricted Funds Project 1</t>
  </si>
  <si>
    <t>Restricted Funds Project 2</t>
  </si>
  <si>
    <t>Restricted Funds Project 3</t>
  </si>
  <si>
    <t>Grants restricted Project 2</t>
  </si>
  <si>
    <t>Grants restricted Project 3</t>
  </si>
  <si>
    <t>Government grants unrestricted</t>
  </si>
  <si>
    <t>Government grants restricted</t>
  </si>
  <si>
    <t>[+] Government grants unrestricted</t>
  </si>
  <si>
    <t>[+] Government grants restricted</t>
  </si>
  <si>
    <t>[-] Operating Expenses</t>
  </si>
  <si>
    <t>Operating Expenses</t>
  </si>
  <si>
    <t>RFP1</t>
  </si>
  <si>
    <t>RFP2</t>
  </si>
  <si>
    <t>RFP3</t>
  </si>
  <si>
    <t>[+] Grants and donations restricted Project 2</t>
  </si>
  <si>
    <t>[+] Grants and donations restricted Project 3</t>
  </si>
  <si>
    <t>[-] Expenses Project 1</t>
  </si>
  <si>
    <t>[-] Expenses Project 2</t>
  </si>
  <si>
    <t>[-] Expenses Project 3</t>
  </si>
  <si>
    <t>Expenses Project 1</t>
  </si>
  <si>
    <t>Expenses Project 2</t>
  </si>
  <si>
    <t>Expenses Project 3</t>
  </si>
  <si>
    <t>Surplus or deficit for the period</t>
  </si>
  <si>
    <t>[+/-] Share of surplus of associates</t>
  </si>
  <si>
    <t>[+/-] Gain or loss on disposal of assets</t>
  </si>
  <si>
    <t>[+/-] Unrealised gains or losses on foreign exchange differences</t>
  </si>
  <si>
    <t>[+/-] Defined benefit plans</t>
  </si>
  <si>
    <t>[+/-] Financial instruments</t>
  </si>
  <si>
    <t>[+/-] Investment property</t>
  </si>
  <si>
    <t>[+/-] Restricted Funds Project 1</t>
  </si>
  <si>
    <t>[+/-] Restricted Funds Project 2</t>
  </si>
  <si>
    <t>[+/-] Restricted Funds Project 3</t>
  </si>
  <si>
    <t>[+/-] Funds without restrictions</t>
  </si>
  <si>
    <t>[+/-] Non-controlling interests</t>
  </si>
  <si>
    <t>[+/-] Increase/decrease in inventories</t>
  </si>
  <si>
    <t>[+/-] Increase/decrease in WIP</t>
  </si>
  <si>
    <t>[+/-] Increase/decrease in other current assets</t>
  </si>
  <si>
    <t>[+/-] Increase/decrease in other current liabilities</t>
  </si>
  <si>
    <t>[+/-] Increase/decrease in operational creditors</t>
  </si>
  <si>
    <t>[+/-] Increase/decrease in accruals</t>
  </si>
  <si>
    <t>[-] Repayment of borrowings</t>
  </si>
  <si>
    <t>[-] Member shares redeemed</t>
  </si>
  <si>
    <t>[+] Member shares issued</t>
  </si>
  <si>
    <t>[-] Acquisition of PPE</t>
  </si>
  <si>
    <t>[-] Acquisition of intangible assets</t>
  </si>
  <si>
    <t>Statement of Changes in Net Assets</t>
  </si>
  <si>
    <t>Net Assets at beginning of period</t>
  </si>
  <si>
    <t>Net Assets at end of period</t>
  </si>
  <si>
    <t xml:space="preserve">Description of acquisition of entity by means of net assets issue </t>
  </si>
  <si>
    <t>Description of conversion of debt to net assets</t>
  </si>
  <si>
    <t>Notes to the Statement of Cash Flows</t>
  </si>
  <si>
    <t>Notes of Statement of Income and Expenses</t>
  </si>
  <si>
    <t>Statement of Cash Flows, indirect method</t>
  </si>
  <si>
    <t>Statement of Income and Expenses</t>
  </si>
  <si>
    <t>Statement of Financial Position</t>
  </si>
  <si>
    <t>Statement of Cash Flows - indirect</t>
  </si>
  <si>
    <t>Notes of Statement of Financial Position</t>
  </si>
  <si>
    <t>Notes of Statement of Cash Flows</t>
  </si>
  <si>
    <t>Description of nature of entity's operation and activities (Activity A, B, C, D)</t>
  </si>
  <si>
    <t>Grant oblig. liability</t>
  </si>
  <si>
    <t>Liabilities for unfulfilled grant delivery obligations</t>
  </si>
  <si>
    <t>Total other gains and losses</t>
  </si>
  <si>
    <t>TOTAL SURPLUS OR DEFICIT</t>
  </si>
  <si>
    <t>Surplus and movements recognised directly in net assets</t>
  </si>
  <si>
    <t>Gains and losses recognised directly in net assets</t>
  </si>
  <si>
    <t>Total surplus and direct net asset movements</t>
  </si>
  <si>
    <t>Other movements in net assets (excluding surplus)</t>
  </si>
  <si>
    <t>Total other movements in net assets</t>
  </si>
  <si>
    <t>[+] Depreciation and amortisation expenses</t>
  </si>
  <si>
    <t>[+] Impairment expenses</t>
  </si>
  <si>
    <t>[-] Donations of PPE received in kind (non-cash)</t>
  </si>
  <si>
    <t>[-/+] Unrealised foreign exchange gains/losses</t>
  </si>
  <si>
    <t>[-/+] Gain/loss on asset disposals (non-cash reversal)</t>
  </si>
  <si>
    <t>[+/-] Capital grant accrual adjustments</t>
  </si>
  <si>
    <t>[+/-] Other investing cash flows</t>
  </si>
  <si>
    <t>[+] Receipts from disposal of assets</t>
  </si>
  <si>
    <t>Movement in cash and cash equivalents</t>
  </si>
  <si>
    <t>Closing cash and cash equivalents (calculated)</t>
  </si>
  <si>
    <t>Reconciliation difference (must equal zero)</t>
  </si>
  <si>
    <t>Other gains and losses</t>
  </si>
  <si>
    <t>Cash and cash equivalents reconciliation</t>
  </si>
  <si>
    <t>Cash movement before exchange effects</t>
  </si>
  <si>
    <t>Closing cash and cash equivalents</t>
  </si>
  <si>
    <t>Total non-cash investing and financing transactions</t>
  </si>
  <si>
    <t>Total non-cash asset acquisitions through liabilities or leases</t>
  </si>
  <si>
    <t>Acquisition of entity through issue of equity claims</t>
  </si>
  <si>
    <t>Total acquisition of entity through equity claims</t>
  </si>
  <si>
    <t>Conversion of debt to equity claims</t>
  </si>
  <si>
    <t>Total conversion of debt to equity claims</t>
  </si>
  <si>
    <t>ADDITIONAL EXPLANATORY NOTES | INPAS 2025</t>
  </si>
  <si>
    <t>Complete the yellow cells below. Explain only material matters that apply to your organisation; use amounts or references from Banana Accounting where available.</t>
  </si>
  <si>
    <t>This sheet complements the three existing numerical notes sheets. Prior-year figures and fund movement reports can be supplied directly by your accounting software; do not duplicate them here.</t>
  </si>
  <si>
    <t>Reporting organisation</t>
  </si>
  <si>
    <t>B1.10</t>
  </si>
  <si>
    <t>Reporting dates (start / end)</t>
  </si>
  <si>
    <t>Presentation currency</t>
  </si>
  <si>
    <t>Rounding applied (units / thousands, etc.)</t>
  </si>
  <si>
    <t>Important: do not enter an unrestricted INPAS compliance claim unless the entire applicable Standard has been followed. If first-time adoption applies, use the appropriate transition disclosure.</t>
  </si>
  <si>
    <t>1. PREPARATION AND ACCOUNTING POLICIES</t>
  </si>
  <si>
    <t>TOPIC</t>
  </si>
  <si>
    <t>WHAT SHOULD BE EXPLAINED</t>
  </si>
  <si>
    <t>WRITE YOUR NOTE OR REFER TO A REPORT</t>
  </si>
  <si>
    <t>INPAS</t>
  </si>
  <si>
    <t>Basis and level of INPAS compliance</t>
  </si>
  <si>
    <t>State the reporting basis and whether full INPAS compliance, financial-statements-only transition compliance, or neither is claimed. Only make a compliance statement if all relevant conditions are fulfilled.</t>
  </si>
  <si>
    <t>B1.3, B1.20; Z1.5</t>
  </si>
  <si>
    <t>Material accounting policies</t>
  </si>
  <si>
    <t>Explain the policies important to your figures: when income and expenses are recognised (accrual), valuation, depreciation, foreign-currency treatment, and other relevant methods. Do not repeat immaterial policies.</t>
  </si>
  <si>
    <t>B6.2, B6.5</t>
  </si>
  <si>
    <t>Significant judgements and estimates</t>
  </si>
  <si>
    <t>Describe judgements with a major accounting effect and important estimates that could materially change asset or liability values next year. Give relevant amounts or refer to the accounting report.</t>
  </si>
  <si>
    <t>B6.6-B6.7</t>
  </si>
  <si>
    <t>Going concern - if uncertain</t>
  </si>
  <si>
    <t>Describe major uncertainties about the ability to continue activities. If the accounts are not prepared on a going-concern basis, explain why and what basis was used.</t>
  </si>
  <si>
    <t>B1.4-B1.5</t>
  </si>
  <si>
    <t>First-time adoption - if relevant</t>
  </si>
  <si>
    <t>In the first INPAS report, explain the transition, material accounting policy changes and the required reconciliations; refer to the transition schedules prepared from the accounting software.</t>
  </si>
  <si>
    <t>Z1.3-Z1.18</t>
  </si>
  <si>
    <t>2. GRANTS, DONATIONS AND FUNDS</t>
  </si>
  <si>
    <t>Grants and donation revenue analysis</t>
  </si>
  <si>
    <t>Disclose revenue WITH and WITHOUT delivery obligations. For each group show how much is cash, donated goods and donated services. Enter amounts here or clearly cite the corresponding report.</t>
  </si>
  <si>
    <t>C1.106</t>
  </si>
  <si>
    <t>Income without delivery obligations</t>
  </si>
  <si>
    <t>Describe when grants/donations become receivable and are recognised. Disclose opening and closing balances of related receivables unless already reported elsewhere.</t>
  </si>
  <si>
    <t>C1.58-C1.60; C1.108</t>
  </si>
  <si>
    <t>Grants WITH delivery obligations</t>
  </si>
  <si>
    <t>Describe what must be delivered, timing, significant payment terms, how income is recognised, unfulfilled obligations where required, and opening/closing receivables and delivery-obligation assets/liabilities unless otherwise reported.</t>
  </si>
  <si>
    <t>C1.110-C1.114</t>
  </si>
  <si>
    <t>Donated goods and services</t>
  </si>
  <si>
    <t>Explain donated goods or volunteer services not recognised when received, why they were not recognised, which permitted exception was used (if any), and their significance to the organisation.</t>
  </si>
  <si>
    <t>C1.62-C1.68; C1.107</t>
  </si>
  <si>
    <t>Explanation of individual funds</t>
  </si>
  <si>
    <t>Refer to the detailed fund movement report from Banana Accounting. If that report does not include purposes of each fund, reasons for transfers, any restricted-fund shortfalls or plans for designated funds, explain them here.</t>
  </si>
  <si>
    <t>B8.26-B8.27</t>
  </si>
  <si>
    <t>3. EXPENSES AND OTHER RELEVANT DISCLOSURES</t>
  </si>
  <si>
    <t>Expenses and cost allocation</t>
  </si>
  <si>
    <t>If expenses are shown by function or in mixed categories, explain the choice, which expense types each function includes, and how shared costs are allocated. Disclose volunteer benefits and material unusual losses where relevant.</t>
  </si>
  <si>
    <t>D1.12-D1.15</t>
  </si>
  <si>
    <t>Assets, liabilities and other commitments</t>
  </si>
  <si>
    <t>Describe significant asset valuations, depreciation/impairment, provisions, uncertain liabilities, financial-instrument risks, borrowing terms or leases that are applicable and not already detailed in existing notes.</t>
  </si>
  <si>
    <t>E2, E5; D5-D6; F1</t>
  </si>
  <si>
    <t>Related parties and governing body</t>
  </si>
  <si>
    <t>Explain related-party transactions and outstanding balances (if any), key management remuneration, and whether governing-body members were paid benefits or compensation; state explicitly when none were paid.</t>
  </si>
  <si>
    <t>H1.7-H1.14</t>
  </si>
  <si>
    <t>Restricted or unavailable cash</t>
  </si>
  <si>
    <t>If material bank/cash balances cannot be freely used, describe the amount and reason (such as donor restrictions). Refer to the existing Notes of Cash flows statement for the figures.</t>
  </si>
  <si>
    <t>B5.25</t>
  </si>
  <si>
    <t>Approval and events after year-end</t>
  </si>
  <si>
    <t>State the date and person/body authorising the financial statements. If major events occurred afterwards but before authorisation, describe them and their estimated financial effect, if relevant.</t>
  </si>
  <si>
    <t>H3.9-H3.10</t>
  </si>
  <si>
    <t>Other relevant disclosures</t>
  </si>
  <si>
    <t>Add any other material information required by the INPAS sections applicable to the organisation, not included in the accounting reports or other notes. In particular, explain unusual events or material policy changes.</t>
  </si>
  <si>
    <t>B6.1-B6.3</t>
  </si>
  <si>
    <t>HOW TO COMPLETE</t>
  </si>
  <si>
    <t>Write an explanation or a reference to a specific accounting report in the yellow field. Where not applicable, mark N/A and omit that item from the published notes. Review all disclosures relevant to the actual transactions.</t>
  </si>
  <si>
    <t>Source: INPAS 2025, The Standard (https://www.inprf.org). Paragraph references are shown on the right. This worksheet is a preparation aid; it is not, by itself, a statement of full INPAS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</si>
</sst>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rial"/>
      <family val="2"/>
    </font>
    <font>
      <sz val="11"/>
      <color theme="1"/>
      <name val="Arial"/>
      <family val="2"/>
    </font>
    <font>
      <sz val="8"/>
      <name val="Aptos Narrow"/>
      <family val="2"/>
      <scheme val="minor"/>
    </font>
    <font>
      <sz val="11"/>
      <name val="Calibri"/>
      <family val="2"/>
    </font>
    <font>
      <b/>
      <sz val="16"/>
      <color theme="1"/>
      <name val="Arial"/>
      <family val="2"/>
    </font>
    <font>
      <b/>
      <sz val="11"/>
      <color theme="0"/>
      <name val="Arial"/>
      <family val="2"/>
    </font>
    <font>
      <b/>
      <sz val="16"/>
      <color theme="1"/>
      <name val="Aptos"/>
      <family val="2"/>
    </font>
    <font>
      <b/>
      <sz val="14"/>
      <color theme="0"/>
      <name val="Aptos"/>
      <family val="2"/>
    </font>
    <font>
      <sz val="14"/>
      <color theme="1"/>
      <name val="Aptos"/>
      <family val="2"/>
    </font>
    <font>
      <sz val="11"/>
      <color theme="1"/>
      <name val="Aptos"/>
      <family val="2"/>
    </font>
    <font>
      <b/>
      <sz val="11"/>
      <color theme="1"/>
      <name val="Aptos"/>
      <family val="2"/>
    </font>
    <font>
      <b/>
      <sz val="14"/>
      <color theme="1"/>
      <name val="Aptos"/>
      <family val="2"/>
    </font>
    <font>
      <b/>
      <sz val="11"/>
      <color theme="0"/>
      <name val="Aptos"/>
      <family val="2"/>
    </font>
    <font>
      <sz val="11"/>
      <name val="Aptos"/>
      <family val="2"/>
    </font>
    <font>
      <sz val="11"/>
      <color theme="0"/>
      <name val="Aptos"/>
      <family val="2"/>
    </font>
    <font>
      <b/>
      <sz val="11"/>
      <name val="Aptos"/>
      <family val="2"/>
    </font>
    <font>
      <b/>
      <sz val="11"/>
      <name val="Arial"/>
      <family val="2"/>
    </font>
    <font>
      <sz val="11"/>
      <name val="Arial"/>
      <family val="2"/>
    </font>
    <font>
      <b/>
      <sz val="14"/>
      <name val="Aptos"/>
      <family val="2"/>
    </font>
    <font>
      <b/>
      <sz val="16"/>
      <color theme="0"/>
      <name val="Aptos"/>
      <family val="2"/>
    </font>
  </fonts>
  <fills count="6">
    <fill>
      <patternFill patternType="none"/>
    </fill>
    <fill>
      <patternFill patternType="gray125"/>
    </fill>
    <fill>
      <patternFill patternType="solid">
        <fgColor theme="0"/>
        <bgColor indexed="64"/>
      </patternFill>
    </fill>
    <fill>
      <patternFill patternType="solid">
        <fgColor rgb="FFFFF2CC"/>
        <bgColor indexed="64"/>
      </patternFill>
    </fill>
    <fill>
      <patternFill patternType="solid">
        <fgColor rgb="FF2F75B5"/>
        <bgColor indexed="64"/>
      </patternFill>
    </fill>
    <fill>
      <patternFill patternType="solid">
        <fgColor rgb="FFE0E0E0"/>
        <bgColor indexed="64"/>
      </patternFill>
    </fill>
  </fills>
  <borders count="2">
    <border>
      <left/>
      <right/>
      <top/>
      <bottom/>
      <diagonal/>
    </border>
    <border>
      <left/>
      <right/>
      <top style="dotted">
        <color auto="1"/>
      </top>
      <bottom/>
      <diagonal/>
    </border>
  </borders>
  <cellStyleXfs count="2">
    <xf numFmtId="0" fontId="0" fillId="0" borderId="0"/>
    <xf numFmtId="49" fontId="4" fillId="0" borderId="0">
      <alignment horizontal="left" vertical="top"/>
    </xf>
  </cellStyleXfs>
  <cellXfs count="139">
    <xf numFmtId="0" fontId="0" fillId="0" borderId="0" xfId="0"/>
    <xf numFmtId="0" fontId="1" fillId="0" borderId="0" xfId="0" applyFont="1"/>
    <xf numFmtId="0" fontId="2" fillId="0" borderId="0" xfId="0" applyFont="1"/>
    <xf numFmtId="14" fontId="2" fillId="0" borderId="0" xfId="0" applyNumberFormat="1" applyFont="1"/>
    <xf numFmtId="0" fontId="2" fillId="0" borderId="0" xfId="0" quotePrefix="1" applyFont="1"/>
    <xf numFmtId="2" fontId="0" fillId="0" borderId="0" xfId="0" applyNumberFormat="1"/>
    <xf numFmtId="0" fontId="5" fillId="0" borderId="0" xfId="0" applyFont="1"/>
    <xf numFmtId="0" fontId="2" fillId="0" borderId="1" xfId="0" applyFont="1" applyBorder="1"/>
    <xf numFmtId="0" fontId="8" fillId="4" borderId="0" xfId="0" applyFont="1" applyFill="1" applyAlignment="1">
      <alignment vertical="center" wrapText="1"/>
    </xf>
    <xf numFmtId="0" fontId="8" fillId="4" borderId="0" xfId="0" applyFont="1" applyFill="1" applyAlignment="1">
      <alignment horizontal="left" vertical="center" wrapText="1"/>
    </xf>
    <xf numFmtId="0" fontId="13" fillId="4" borderId="0" xfId="0" applyFont="1" applyFill="1" applyAlignment="1">
      <alignment vertical="center" wrapText="1"/>
    </xf>
    <xf numFmtId="0" fontId="13" fillId="4" borderId="0" xfId="0" applyFont="1" applyFill="1" applyAlignment="1">
      <alignment horizontal="left" vertical="center" wrapText="1"/>
    </xf>
    <xf numFmtId="0" fontId="10" fillId="0" borderId="0" xfId="0" applyFont="1" applyAlignment="1">
      <alignment wrapText="1"/>
    </xf>
    <xf numFmtId="0" fontId="10" fillId="0" borderId="0" xfId="0" applyFont="1" applyAlignment="1">
      <alignment vertical="center" wrapText="1"/>
    </xf>
    <xf numFmtId="2" fontId="10" fillId="3" borderId="0" xfId="0" applyNumberFormat="1" applyFont="1" applyFill="1" applyAlignment="1">
      <alignment vertical="center" wrapText="1"/>
    </xf>
    <xf numFmtId="0" fontId="8" fillId="4" borderId="0" xfId="0" applyFont="1" applyFill="1" applyAlignment="1">
      <alignment wrapText="1"/>
    </xf>
    <xf numFmtId="0" fontId="8" fillId="4" borderId="0" xfId="0" applyFont="1" applyFill="1" applyAlignment="1">
      <alignment horizontal="left" wrapText="1"/>
    </xf>
    <xf numFmtId="0" fontId="13" fillId="4" borderId="0" xfId="0" applyFont="1" applyFill="1" applyAlignment="1">
      <alignment horizontal="left" wrapText="1"/>
    </xf>
    <xf numFmtId="0" fontId="10" fillId="0" borderId="0" xfId="0" applyFont="1" applyAlignment="1">
      <alignment horizontal="left" wrapText="1"/>
    </xf>
    <xf numFmtId="2" fontId="10" fillId="3" borderId="0" xfId="0" applyNumberFormat="1" applyFont="1" applyFill="1" applyAlignment="1">
      <alignment wrapText="1"/>
    </xf>
    <xf numFmtId="49" fontId="13" fillId="4" borderId="0" xfId="1" applyFont="1" applyFill="1" applyAlignment="1">
      <alignment horizontal="left" vertical="center" wrapText="1"/>
    </xf>
    <xf numFmtId="0" fontId="13" fillId="4" borderId="0" xfId="0" applyFont="1" applyFill="1" applyAlignment="1">
      <alignment horizontal="center" vertical="center" wrapText="1"/>
    </xf>
    <xf numFmtId="2" fontId="10" fillId="3" borderId="0" xfId="0" applyNumberFormat="1" applyFont="1" applyFill="1" applyAlignment="1">
      <alignment horizontal="right" vertical="center" wrapText="1"/>
    </xf>
    <xf numFmtId="2" fontId="14" fillId="3" borderId="0" xfId="0" applyNumberFormat="1" applyFont="1" applyFill="1" applyAlignment="1">
      <alignment horizontal="right" vertical="center" wrapText="1"/>
    </xf>
    <xf numFmtId="0" fontId="10" fillId="3" borderId="0" xfId="0" applyFont="1" applyFill="1" applyAlignment="1">
      <alignment horizontal="left" vertical="center" wrapText="1"/>
    </xf>
    <xf numFmtId="0" fontId="2" fillId="2" borderId="0" xfId="0" applyFont="1" applyFill="1"/>
    <xf numFmtId="0" fontId="13" fillId="2" borderId="0" xfId="0" applyFont="1" applyFill="1" applyAlignment="1">
      <alignment horizontal="left" vertical="center" wrapText="1"/>
    </xf>
    <xf numFmtId="0" fontId="15" fillId="2" borderId="0" xfId="0" applyFont="1" applyFill="1" applyAlignment="1">
      <alignment vertical="center" wrapText="1"/>
    </xf>
    <xf numFmtId="0" fontId="13" fillId="2" borderId="0" xfId="0" applyFont="1" applyFill="1" applyAlignment="1">
      <alignment vertical="center" wrapText="1"/>
    </xf>
    <xf numFmtId="2" fontId="13" fillId="2" borderId="0" xfId="0" applyNumberFormat="1" applyFont="1" applyFill="1" applyAlignment="1">
      <alignment horizontal="right" vertical="center" wrapText="1"/>
    </xf>
    <xf numFmtId="0" fontId="14" fillId="2" borderId="0" xfId="0" applyFont="1" applyFill="1" applyAlignment="1">
      <alignment horizontal="left" vertical="center" wrapText="1"/>
    </xf>
    <xf numFmtId="0" fontId="10" fillId="2" borderId="0" xfId="0" applyFont="1" applyFill="1" applyAlignment="1">
      <alignment vertical="center" wrapText="1"/>
    </xf>
    <xf numFmtId="49" fontId="2" fillId="2" borderId="0" xfId="0" applyNumberFormat="1" applyFont="1" applyFill="1"/>
    <xf numFmtId="49" fontId="10" fillId="2" borderId="0" xfId="0" applyNumberFormat="1" applyFont="1" applyFill="1" applyAlignment="1">
      <alignment horizontal="left" vertical="center" wrapText="1"/>
    </xf>
    <xf numFmtId="0" fontId="6" fillId="2" borderId="0" xfId="0" applyFont="1" applyFill="1"/>
    <xf numFmtId="0" fontId="11" fillId="2" borderId="0" xfId="0" applyFont="1" applyFill="1" applyAlignment="1">
      <alignment horizontal="left" vertical="center" wrapText="1"/>
    </xf>
    <xf numFmtId="0" fontId="10" fillId="2" borderId="0" xfId="0" applyFont="1" applyFill="1" applyAlignment="1">
      <alignment horizontal="left" wrapText="1"/>
    </xf>
    <xf numFmtId="2" fontId="14" fillId="2" borderId="0" xfId="0" applyNumberFormat="1" applyFont="1" applyFill="1" applyAlignment="1">
      <alignment horizontal="right" vertical="center" wrapText="1"/>
    </xf>
    <xf numFmtId="0" fontId="10" fillId="2" borderId="0" xfId="0" applyFont="1" applyFill="1" applyAlignment="1">
      <alignment horizontal="left" vertical="center" wrapText="1"/>
    </xf>
    <xf numFmtId="0" fontId="10" fillId="0" borderId="0" xfId="0" applyFont="1" applyAlignment="1">
      <alignment vertical="center"/>
    </xf>
    <xf numFmtId="49" fontId="14" fillId="2" borderId="0" xfId="0" applyNumberFormat="1" applyFont="1" applyFill="1" applyAlignment="1">
      <alignment horizontal="left" vertical="center" wrapText="1"/>
    </xf>
    <xf numFmtId="49" fontId="15" fillId="2" borderId="0" xfId="0" applyNumberFormat="1" applyFont="1" applyFill="1" applyAlignment="1">
      <alignment horizontal="left" vertical="center" wrapText="1"/>
    </xf>
    <xf numFmtId="49" fontId="14" fillId="2" borderId="0" xfId="0" applyNumberFormat="1" applyFont="1" applyFill="1" applyAlignment="1">
      <alignment horizontal="left" wrapText="1"/>
    </xf>
    <xf numFmtId="49" fontId="15" fillId="2" borderId="0" xfId="0" applyNumberFormat="1" applyFont="1" applyFill="1" applyAlignment="1">
      <alignment horizontal="left" wrapText="1"/>
    </xf>
    <xf numFmtId="0" fontId="14" fillId="2" borderId="0" xfId="0" applyFont="1" applyFill="1" applyAlignment="1">
      <alignment vertical="center" wrapText="1"/>
    </xf>
    <xf numFmtId="0" fontId="16" fillId="2" borderId="0" xfId="0" applyFont="1" applyFill="1" applyAlignment="1">
      <alignment vertical="center" wrapText="1"/>
    </xf>
    <xf numFmtId="0" fontId="14" fillId="2" borderId="1" xfId="0" applyFont="1" applyFill="1" applyBorder="1" applyAlignment="1">
      <alignment vertical="center" wrapText="1"/>
    </xf>
    <xf numFmtId="0" fontId="14" fillId="2" borderId="0" xfId="0" applyFont="1" applyFill="1" applyAlignment="1">
      <alignment wrapText="1"/>
    </xf>
    <xf numFmtId="0" fontId="10" fillId="2" borderId="0" xfId="0" applyFont="1" applyFill="1" applyAlignment="1">
      <alignment wrapText="1"/>
    </xf>
    <xf numFmtId="2" fontId="10" fillId="2" borderId="0" xfId="0" applyNumberFormat="1" applyFont="1" applyFill="1" applyAlignment="1">
      <alignment wrapText="1"/>
    </xf>
    <xf numFmtId="49" fontId="13" fillId="2" borderId="0" xfId="1" applyFont="1" applyFill="1" applyAlignment="1">
      <alignment horizontal="left" vertical="center" wrapText="1"/>
    </xf>
    <xf numFmtId="2" fontId="13" fillId="2" borderId="0" xfId="1" applyNumberFormat="1" applyFont="1" applyFill="1" applyAlignment="1">
      <alignment horizontal="right" vertical="center" wrapText="1"/>
    </xf>
    <xf numFmtId="49" fontId="14" fillId="2" borderId="0" xfId="1" applyFont="1" applyFill="1" applyAlignment="1">
      <alignment horizontal="left" vertical="center" wrapText="1"/>
    </xf>
    <xf numFmtId="2" fontId="10" fillId="2" borderId="0" xfId="0" applyNumberFormat="1" applyFont="1" applyFill="1" applyAlignment="1">
      <alignment vertical="center" wrapText="1"/>
    </xf>
    <xf numFmtId="0" fontId="16" fillId="2" borderId="0" xfId="0" applyFont="1" applyFill="1" applyAlignment="1">
      <alignment horizontal="left" vertical="center" wrapText="1"/>
    </xf>
    <xf numFmtId="0" fontId="0" fillId="0" borderId="0" xfId="0" applyAlignment="1">
      <alignment horizontal="left"/>
    </xf>
    <xf numFmtId="0" fontId="6" fillId="4" borderId="0" xfId="0" applyFont="1" applyFill="1" applyAlignment="1">
      <alignment vertical="center" wrapText="1"/>
    </xf>
    <xf numFmtId="0" fontId="11" fillId="2" borderId="0" xfId="0" applyFont="1" applyFill="1" applyAlignment="1">
      <alignment vertical="center" wrapText="1"/>
    </xf>
    <xf numFmtId="0" fontId="11" fillId="2" borderId="0" xfId="0" applyFont="1" applyFill="1" applyAlignment="1">
      <alignment wrapText="1"/>
    </xf>
    <xf numFmtId="0" fontId="10" fillId="2" borderId="1" xfId="0" applyFont="1" applyFill="1" applyBorder="1" applyAlignment="1">
      <alignment wrapText="1"/>
    </xf>
    <xf numFmtId="0" fontId="14" fillId="2" borderId="0" xfId="0" applyFont="1" applyFill="1" applyAlignment="1">
      <alignment horizontal="center" vertical="center" wrapText="1"/>
    </xf>
    <xf numFmtId="0" fontId="10" fillId="0" borderId="0" xfId="0" applyFont="1" applyAlignment="1">
      <alignment horizontal="center" vertical="center"/>
    </xf>
    <xf numFmtId="2" fontId="16" fillId="2" borderId="0" xfId="0" applyNumberFormat="1" applyFont="1" applyFill="1" applyAlignment="1">
      <alignment horizontal="right" vertical="center" wrapText="1"/>
    </xf>
    <xf numFmtId="2" fontId="16" fillId="2" borderId="0" xfId="0" applyNumberFormat="1" applyFont="1" applyFill="1" applyAlignment="1">
      <alignment vertical="center" wrapText="1"/>
    </xf>
    <xf numFmtId="0" fontId="16" fillId="2" borderId="0" xfId="0" applyFont="1" applyFill="1" applyAlignment="1">
      <alignment horizontal="left" wrapText="1"/>
    </xf>
    <xf numFmtId="2" fontId="16" fillId="2" borderId="0" xfId="0" applyNumberFormat="1" applyFont="1" applyFill="1" applyAlignment="1">
      <alignment wrapText="1"/>
    </xf>
    <xf numFmtId="2" fontId="16" fillId="2" borderId="0" xfId="0" applyNumberFormat="1" applyFont="1" applyFill="1" applyAlignment="1">
      <alignment horizontal="right" wrapText="1"/>
    </xf>
    <xf numFmtId="2" fontId="16" fillId="2" borderId="0" xfId="1" applyNumberFormat="1" applyFont="1" applyFill="1" applyAlignment="1">
      <alignment horizontal="right" vertical="center" wrapText="1"/>
    </xf>
    <xf numFmtId="2" fontId="13" fillId="2" borderId="0" xfId="0" applyNumberFormat="1" applyFont="1" applyFill="1" applyAlignment="1">
      <alignment horizontal="center" vertical="center" wrapText="1"/>
    </xf>
    <xf numFmtId="2" fontId="16" fillId="2" borderId="0" xfId="0" applyNumberFormat="1" applyFont="1" applyFill="1" applyAlignment="1">
      <alignment horizontal="center" vertical="center" wrapText="1"/>
    </xf>
    <xf numFmtId="0" fontId="16" fillId="2" borderId="0" xfId="0" applyFont="1" applyFill="1" applyAlignment="1">
      <alignment horizontal="right" vertical="center" wrapText="1"/>
    </xf>
    <xf numFmtId="2" fontId="17" fillId="2" borderId="0" xfId="0" applyNumberFormat="1" applyFont="1" applyFill="1"/>
    <xf numFmtId="0" fontId="16" fillId="2" borderId="0" xfId="0" applyFont="1" applyFill="1" applyAlignment="1">
      <alignment vertical="center"/>
    </xf>
    <xf numFmtId="2" fontId="16" fillId="2" borderId="0" xfId="0" applyNumberFormat="1" applyFont="1" applyFill="1" applyAlignment="1">
      <alignment vertical="center"/>
    </xf>
    <xf numFmtId="14" fontId="13" fillId="4" borderId="0" xfId="0" applyNumberFormat="1" applyFont="1" applyFill="1" applyAlignment="1">
      <alignment vertical="center" wrapText="1"/>
    </xf>
    <xf numFmtId="49" fontId="13" fillId="4" borderId="0" xfId="1" applyFont="1" applyFill="1" applyAlignment="1">
      <alignment vertical="center" wrapText="1"/>
    </xf>
    <xf numFmtId="14" fontId="13" fillId="4" borderId="0" xfId="1" applyNumberFormat="1" applyFont="1" applyFill="1" applyAlignment="1">
      <alignment horizontal="left" vertical="center" wrapText="1"/>
    </xf>
    <xf numFmtId="0" fontId="14" fillId="2" borderId="0" xfId="0" applyFont="1" applyFill="1" applyAlignment="1">
      <alignment horizontal="left" vertical="center"/>
    </xf>
    <xf numFmtId="0" fontId="13" fillId="4" borderId="0" xfId="0" applyFont="1" applyFill="1" applyAlignment="1">
      <alignment horizontal="left" vertical="center"/>
    </xf>
    <xf numFmtId="2" fontId="16" fillId="2" borderId="0" xfId="0" applyNumberFormat="1" applyFont="1" applyFill="1" applyAlignment="1">
      <alignment horizontal="center" vertical="center"/>
    </xf>
    <xf numFmtId="0" fontId="13" fillId="4" borderId="0" xfId="0" applyFont="1" applyFill="1" applyAlignment="1">
      <alignment vertical="center"/>
    </xf>
    <xf numFmtId="2" fontId="14" fillId="3" borderId="0" xfId="0" applyNumberFormat="1" applyFont="1" applyFill="1" applyAlignment="1">
      <alignment vertical="center"/>
    </xf>
    <xf numFmtId="2" fontId="16" fillId="2" borderId="0" xfId="0" applyNumberFormat="1" applyFont="1" applyFill="1" applyAlignment="1">
      <alignment horizontal="right" vertical="center"/>
    </xf>
    <xf numFmtId="0" fontId="13" fillId="4" borderId="0" xfId="0" applyFont="1" applyFill="1" applyAlignment="1">
      <alignment horizontal="center" vertical="center"/>
    </xf>
    <xf numFmtId="14" fontId="13" fillId="4" borderId="0" xfId="0" applyNumberFormat="1" applyFont="1" applyFill="1" applyAlignment="1">
      <alignment horizontal="left" wrapText="1"/>
    </xf>
    <xf numFmtId="0" fontId="13" fillId="4" borderId="0" xfId="0" applyFont="1" applyFill="1" applyAlignment="1">
      <alignment horizontal="right" vertical="center" wrapText="1"/>
    </xf>
    <xf numFmtId="0" fontId="11" fillId="2" borderId="0" xfId="0" applyFont="1" applyFill="1" applyAlignment="1">
      <alignment horizontal="left" wrapText="1"/>
    </xf>
    <xf numFmtId="2" fontId="11" fillId="2" borderId="0" xfId="0" applyNumberFormat="1" applyFont="1" applyFill="1" applyAlignment="1">
      <alignment wrapText="1"/>
    </xf>
    <xf numFmtId="2" fontId="2" fillId="3" borderId="0" xfId="0" applyNumberFormat="1" applyFont="1" applyFill="1" applyAlignment="1">
      <alignment wrapText="1"/>
    </xf>
    <xf numFmtId="0" fontId="11" fillId="3" borderId="0" xfId="0" applyFont="1" applyFill="1" applyAlignment="1">
      <alignment horizontal="left" vertical="center" wrapText="1"/>
    </xf>
    <xf numFmtId="0" fontId="10" fillId="3" borderId="0" xfId="0" applyFont="1" applyFill="1" applyAlignment="1">
      <alignment horizontal="right" vertical="center" wrapText="1"/>
    </xf>
    <xf numFmtId="0" fontId="10" fillId="3" borderId="0" xfId="0" applyFont="1" applyFill="1" applyAlignment="1">
      <alignment horizontal="right" wrapText="1"/>
    </xf>
    <xf numFmtId="0" fontId="2" fillId="3" borderId="0" xfId="0" applyFont="1" applyFill="1" applyAlignment="1">
      <alignment horizontal="left" wrapText="1"/>
    </xf>
    <xf numFmtId="1" fontId="14" fillId="3" borderId="0" xfId="0" applyNumberFormat="1" applyFont="1" applyFill="1" applyAlignment="1">
      <alignment horizontal="right" vertical="center" wrapText="1"/>
    </xf>
    <xf numFmtId="1" fontId="15" fillId="2" borderId="0" xfId="0" applyNumberFormat="1" applyFont="1" applyFill="1" applyAlignment="1">
      <alignment horizontal="left" vertical="center" wrapText="1"/>
    </xf>
    <xf numFmtId="0" fontId="10" fillId="0" borderId="0" xfId="0" applyFont="1" applyAlignment="1">
      <alignment horizontal="left" vertical="center"/>
    </xf>
    <xf numFmtId="0" fontId="19" fillId="2" borderId="0" xfId="0" applyFont="1" applyFill="1" applyAlignment="1">
      <alignment horizontal="left" vertical="top" wrapText="1"/>
    </xf>
    <xf numFmtId="49" fontId="14" fillId="2" borderId="0" xfId="0" applyNumberFormat="1" applyFont="1" applyFill="1" applyAlignment="1">
      <alignment horizontal="left" vertical="center"/>
    </xf>
    <xf numFmtId="0" fontId="18" fillId="2" borderId="0" xfId="0" applyFont="1" applyFill="1" applyAlignment="1">
      <alignment horizontal="left"/>
    </xf>
    <xf numFmtId="2" fontId="13" fillId="4" borderId="0" xfId="0" applyNumberFormat="1" applyFont="1" applyFill="1" applyAlignment="1">
      <alignment horizontal="right" vertical="center" wrapText="1"/>
    </xf>
    <xf numFmtId="2" fontId="14" fillId="2" borderId="0" xfId="0" applyNumberFormat="1" applyFont="1" applyFill="1" applyAlignment="1">
      <alignment vertical="center" wrapText="1"/>
    </xf>
    <xf numFmtId="14" fontId="9" fillId="3" borderId="0" xfId="0" applyNumberFormat="1" applyFont="1" applyFill="1" applyAlignment="1">
      <alignment horizontal="left" vertical="top" wrapText="1"/>
    </xf>
    <xf numFmtId="0" fontId="9" fillId="5" borderId="0" xfId="0" applyFont="1" applyFill="1" applyAlignment="1">
      <alignment horizontal="left" vertical="center" wrapText="1"/>
    </xf>
    <xf numFmtId="2" fontId="13" fillId="4" borderId="0" xfId="0" applyNumberFormat="1" applyFont="1" applyFill="1" applyAlignment="1">
      <alignment horizontal="left" wrapText="1"/>
    </xf>
    <xf numFmtId="14" fontId="9" fillId="3" borderId="0" xfId="0" applyNumberFormat="1" applyFont="1" applyFill="1" applyAlignment="1">
      <alignment horizontal="left" vertical="top" wrapText="1"/>
    </xf>
    <xf numFmtId="0" fontId="20" fillId="4" borderId="0" xfId="0" applyFont="1" applyFill="1" applyAlignment="1">
      <alignment horizontal="center" vertical="center" wrapText="1"/>
    </xf>
    <xf numFmtId="0" fontId="9" fillId="3" borderId="0" xfId="0" applyFont="1" applyFill="1" applyAlignment="1">
      <alignment horizontal="left" vertical="top" wrapText="1"/>
    </xf>
    <xf numFmtId="0" fontId="12" fillId="2" borderId="0" xfId="0" applyFont="1" applyFill="1" applyAlignment="1">
      <alignment horizontal="center" vertical="center" wrapText="1"/>
    </xf>
    <xf numFmtId="0" fontId="14" fillId="0" borderId="0" xfId="0" applyFont="1" applyAlignment="1">
      <alignment vertical="center"/>
    </xf>
    <xf numFmtId="0" fontId="14" fillId="2" borderId="0" xfId="0" applyFont="1" applyFill="1" applyAlignment="1">
      <alignment vertical="center" wrapText="1"/>
    </xf>
    <xf numFmtId="0" fontId="16" fillId="2" borderId="0" xfId="0" applyFont="1" applyFill="1" applyAlignment="1">
      <alignment horizontal="left" vertical="center" wrapText="1"/>
    </xf>
    <xf numFmtId="0" fontId="9" fillId="5" borderId="0" xfId="0" applyFont="1" applyFill="1" applyAlignment="1">
      <alignment horizontal="left" vertical="center" wrapText="1"/>
    </xf>
    <xf numFmtId="0" fontId="7" fillId="0" borderId="0" xfId="0" applyFont="1" applyAlignment="1">
      <alignment horizontal="center" vertical="center" wrapText="1"/>
    </xf>
    <xf numFmtId="14" fontId="9" fillId="5" borderId="0" xfId="0" applyNumberFormat="1" applyFont="1" applyFill="1" applyAlignment="1">
      <alignment horizontal="left" vertical="center" wrapText="1"/>
    </xf>
    <xf numFmtId="0" fontId="7" fillId="0" borderId="0" xfId="0" applyFont="1" applyAlignment="1">
      <alignment horizontal="center" wrapText="1"/>
    </xf>
    <xf numFmtId="0" fontId="9" fillId="5" borderId="0" xfId="0" applyFont="1" applyFill="1" applyAlignment="1">
      <alignment horizontal="left" wrapText="1"/>
    </xf>
    <xf numFmtId="14" fontId="9" fillId="5" borderId="0" xfId="0" applyNumberFormat="1" applyFont="1" applyFill="1" applyAlignment="1">
      <alignment horizontal="left" wrapText="1"/>
    </xf>
    <xf numFmtId="49" fontId="14" fillId="0" borderId="0" xfId="1" applyFont="1" applyAlignment="1">
      <alignment horizontal="left" vertical="center" wrapText="1"/>
    </xf>
    <xf numFmtId="49" fontId="16" fillId="2" borderId="0" xfId="1" applyFont="1" applyFill="1" applyAlignment="1">
      <alignment horizontal="left" vertical="center" wrapText="1"/>
    </xf>
    <xf numFmtId="49" fontId="14" fillId="2" borderId="0" xfId="1" applyFont="1" applyFill="1" applyAlignment="1">
      <alignment horizontal="left" vertical="center" wrapText="1"/>
    </xf>
    <xf numFmtId="0" fontId="10" fillId="2" borderId="0" xfId="0" applyFont="1" applyFill="1" applyAlignment="1">
      <alignment horizontal="left" vertical="center" wrapText="1"/>
    </xf>
    <xf numFmtId="0" fontId="14" fillId="2" borderId="0" xfId="0" applyFont="1" applyFill="1" applyAlignment="1">
      <alignment horizontal="left" vertical="center" wrapText="1"/>
    </xf>
    <xf numFmtId="0" fontId="10" fillId="2" borderId="0" xfId="0" applyFont="1" applyFill="1" applyAlignment="1">
      <alignment horizontal="left" wrapText="1"/>
    </xf>
    <xf numFmtId="0" fontId="13" fillId="4" borderId="0" xfId="0" applyFont="1" applyFill="1" applyAlignment="1">
      <alignment horizontal="left" vertical="center" wrapText="1"/>
    </xf>
    <xf numFmtId="0" fontId="11" fillId="2" borderId="0" xfId="0" applyFont="1" applyFill="1" applyAlignment="1">
      <alignment horizontal="center" vertical="center" wrapText="1"/>
    </xf>
    <xf numFmtId="0" fontId="11" fillId="3" borderId="0" xfId="0" applyFont="1" applyFill="1" applyAlignment="1">
      <alignment horizontal="left" vertical="center" wrapText="1"/>
    </xf>
    <xf numFmtId="0" fontId="10" fillId="3" borderId="0" xfId="0" applyFont="1" applyFill="1" applyAlignment="1">
      <alignment horizontal="left" wrapText="1"/>
    </xf>
    <xf numFmtId="0" fontId="7" fillId="0" borderId="0" xfId="0" applyFont="1" applyAlignment="1">
      <alignment horizontal="center"/>
    </xf>
    <xf numFmtId="0" fontId="13" fillId="4" borderId="0" xfId="0" applyFont="1" applyFill="1" applyAlignment="1">
      <alignment horizontal="center" vertical="center" wrapText="1"/>
    </xf>
    <xf numFmtId="0" fontId="7" fillId="0" borderId="0" xfId="0" applyFont="1" applyAlignment="1">
      <alignment horizontal="center" vertical="center"/>
    </xf>
    <xf numFmtId="0" fontId="12" fillId="2" borderId="0" xfId="0" applyFont="1" applyFill="1" applyAlignment="1">
      <alignment horizontal="center" vertical="center"/>
    </xf>
    <xf numFmtId="0" fontId="10" fillId="3" borderId="0" xfId="0" applyFont="1" applyFill="1" applyAlignment="1">
      <alignment horizontal="left" vertical="center"/>
    </xf>
    <xf numFmtId="0" fontId="13" fillId="4" borderId="0" xfId="0" applyFont="1" applyFill="1" applyAlignment="1">
      <alignment horizontal="center" vertical="center"/>
    </xf>
    <xf numFmtId="0" fontId="9" fillId="5" borderId="0" xfId="0" applyFont="1" applyFill="1" applyAlignment="1">
      <alignment horizontal="left" vertical="center"/>
    </xf>
    <xf numFmtId="14" fontId="9" fillId="5" borderId="0" xfId="0" applyNumberFormat="1" applyFont="1" applyFill="1" applyAlignment="1">
      <alignment horizontal="left" vertical="center"/>
    </xf>
    <xf numFmtId="0" fontId="10" fillId="0" borderId="0" xfId="0" applyFont="1" applyAlignment="1">
      <alignment horizontal="left" vertical="center"/>
    </xf>
    <xf numFmtId="0" fontId="10" fillId="0" borderId="0" xfId="0" applyFont="1" applyAlignment="1">
      <alignment wrapText="1"/>
    </xf>
    <xf numFmtId="0" fontId="0" fillId="0" borderId="0" xfId="0"/>
    <xf numFmtId="2" fontId="10" fillId="3" borderId="0" xfId="0" applyNumberFormat="1" applyFont="1" applyFill="1" applyAlignment="1">
      <alignment vertical="center" wrapText="1"/>
    </xf>
  </cellXfs>
  <cellStyles count="2">
    <cellStyle name="Content" xfId="1" xr:uid="{C3B59F96-DF71-4721-9C62-0AC211CED541}"/>
    <cellStyle name="Normale" xfId="0" builtinId="0"/>
  </cellStyles>
  <dxfs count="5">
    <dxf>
      <fill>
        <patternFill>
          <bgColor rgb="FF92D050"/>
        </patternFill>
      </fill>
    </dxf>
    <dxf>
      <fill>
        <patternFill>
          <bgColor rgb="FFFF0000"/>
        </patternFill>
      </fill>
    </dxf>
    <dxf>
      <font>
        <color rgb="FF92D050"/>
      </font>
    </dxf>
    <dxf>
      <font>
        <color rgb="FFFF0000"/>
      </font>
    </dxf>
    <dxf>
      <font>
        <color rgb="FF92D050"/>
      </font>
    </dxf>
  </dxfs>
  <tableStyles count="0" defaultTableStyle="TableStyleMedium2" defaultPivotStyle="PivotStyleLight16"/>
  <colors>
    <mruColors>
      <color rgb="FF2F75B5"/>
      <color rgb="FFFFF2CC"/>
      <color rgb="FFDAE9F8"/>
      <color rgb="FFE0E0E0"/>
      <color rgb="FFF9D5C3"/>
      <color rgb="FFFFFF66"/>
      <color rgb="FF61CB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8B21-6444-45D8-9FCF-A476D917F48D}">
  <sheetPr>
    <pageSetUpPr fitToPage="1"/>
  </sheetPr>
  <dimension ref="A1:G28"/>
  <sheetViews>
    <sheetView tabSelected="1" zoomScale="90" zoomScaleNormal="90" workbookViewId="0">
      <selection activeCell="B21" sqref="B21:G21"/>
    </sheetView>
  </sheetViews>
  <sheetFormatPr defaultRowHeight="14.4" x14ac:dyDescent="0.3"/>
  <cols>
    <col min="1" max="1" width="97.6640625" bestFit="1" customWidth="1"/>
    <col min="2" max="2" width="26" customWidth="1"/>
    <col min="6" max="6" width="10.109375" customWidth="1"/>
    <col min="7" max="7" width="8.6640625" customWidth="1"/>
  </cols>
  <sheetData>
    <row r="1" spans="1:7" ht="21" x14ac:dyDescent="0.3">
      <c r="A1" s="105" t="s">
        <v>168</v>
      </c>
      <c r="B1" s="105"/>
      <c r="C1" s="105"/>
      <c r="D1" s="105"/>
      <c r="E1" s="105"/>
      <c r="F1" s="105"/>
      <c r="G1" s="105"/>
    </row>
    <row r="2" spans="1:7" ht="18" x14ac:dyDescent="0.3">
      <c r="A2" s="96" t="s">
        <v>0</v>
      </c>
      <c r="B2" s="106" t="s">
        <v>1</v>
      </c>
      <c r="C2" s="106"/>
      <c r="D2" s="106"/>
      <c r="E2" s="106"/>
      <c r="F2" s="106"/>
      <c r="G2" s="106"/>
    </row>
    <row r="3" spans="1:7" ht="18" x14ac:dyDescent="0.3">
      <c r="A3" s="96" t="s">
        <v>2</v>
      </c>
      <c r="B3" s="106" t="s">
        <v>3</v>
      </c>
      <c r="C3" s="106"/>
      <c r="D3" s="106"/>
      <c r="E3" s="106"/>
      <c r="F3" s="106"/>
      <c r="G3" s="106"/>
    </row>
    <row r="4" spans="1:7" ht="18" x14ac:dyDescent="0.3">
      <c r="A4" s="96" t="s">
        <v>4</v>
      </c>
      <c r="B4" s="106" t="s">
        <v>5</v>
      </c>
      <c r="C4" s="106"/>
      <c r="D4" s="106"/>
      <c r="E4" s="106"/>
      <c r="F4" s="106"/>
      <c r="G4" s="106"/>
    </row>
    <row r="5" spans="1:7" ht="18" x14ac:dyDescent="0.3">
      <c r="A5" s="96" t="s">
        <v>6</v>
      </c>
      <c r="B5" s="106" t="s">
        <v>7</v>
      </c>
      <c r="C5" s="106"/>
      <c r="D5" s="106"/>
      <c r="E5" s="106"/>
      <c r="F5" s="106"/>
      <c r="G5" s="106"/>
    </row>
    <row r="6" spans="1:7" ht="18" x14ac:dyDescent="0.3">
      <c r="A6" s="96" t="s">
        <v>8</v>
      </c>
      <c r="B6" s="106" t="s">
        <v>9</v>
      </c>
      <c r="C6" s="106"/>
      <c r="D6" s="106"/>
      <c r="E6" s="106"/>
      <c r="F6" s="106"/>
      <c r="G6" s="106"/>
    </row>
    <row r="7" spans="1:7" ht="18" x14ac:dyDescent="0.3">
      <c r="A7" s="96" t="s">
        <v>10</v>
      </c>
      <c r="B7" s="106" t="s">
        <v>11</v>
      </c>
      <c r="C7" s="106"/>
      <c r="D7" s="106"/>
      <c r="E7" s="106"/>
      <c r="F7" s="106"/>
      <c r="G7" s="106"/>
    </row>
    <row r="8" spans="1:7" ht="18" x14ac:dyDescent="0.3">
      <c r="A8" s="96" t="s">
        <v>12</v>
      </c>
      <c r="B8" s="104">
        <v>45292</v>
      </c>
      <c r="C8" s="104"/>
      <c r="D8" s="104"/>
      <c r="E8" s="104"/>
      <c r="F8" s="104"/>
      <c r="G8" s="104"/>
    </row>
    <row r="9" spans="1:7" ht="18" x14ac:dyDescent="0.3">
      <c r="A9" s="96" t="s">
        <v>13</v>
      </c>
      <c r="B9" s="104">
        <v>45657</v>
      </c>
      <c r="C9" s="104"/>
      <c r="D9" s="104"/>
      <c r="E9" s="104"/>
      <c r="F9" s="104"/>
      <c r="G9" s="104"/>
    </row>
    <row r="10" spans="1:7" ht="18" x14ac:dyDescent="0.3">
      <c r="A10" s="96" t="s">
        <v>14</v>
      </c>
      <c r="B10" s="104" t="s">
        <v>251</v>
      </c>
      <c r="C10" s="104"/>
      <c r="D10" s="104"/>
      <c r="E10" s="104"/>
      <c r="F10" s="104"/>
      <c r="G10" s="104"/>
    </row>
    <row r="11" spans="1:7" ht="18" x14ac:dyDescent="0.3">
      <c r="A11" s="96"/>
      <c r="B11" s="104"/>
      <c r="C11" s="104"/>
      <c r="D11" s="104"/>
      <c r="E11" s="104"/>
      <c r="F11" s="104"/>
      <c r="G11" s="104"/>
    </row>
    <row r="12" spans="1:7" ht="18" x14ac:dyDescent="0.3">
      <c r="A12" s="96"/>
      <c r="B12" s="104"/>
      <c r="C12" s="104"/>
      <c r="D12" s="104"/>
      <c r="E12" s="104"/>
      <c r="F12" s="104"/>
      <c r="G12" s="104"/>
    </row>
    <row r="13" spans="1:7" ht="18" x14ac:dyDescent="0.3">
      <c r="A13" s="96"/>
      <c r="B13" s="104"/>
      <c r="C13" s="104"/>
      <c r="D13" s="104"/>
      <c r="E13" s="104"/>
      <c r="F13" s="104"/>
      <c r="G13" s="104"/>
    </row>
    <row r="14" spans="1:7" ht="18" x14ac:dyDescent="0.3">
      <c r="A14" s="96"/>
      <c r="B14" s="104"/>
      <c r="C14" s="104"/>
      <c r="D14" s="104"/>
      <c r="E14" s="104"/>
      <c r="F14" s="104"/>
      <c r="G14" s="104"/>
    </row>
    <row r="15" spans="1:7" ht="18" x14ac:dyDescent="0.3">
      <c r="A15" s="96"/>
      <c r="B15" s="104"/>
      <c r="C15" s="104"/>
      <c r="D15" s="104"/>
      <c r="E15" s="104"/>
      <c r="F15" s="104"/>
      <c r="G15" s="104"/>
    </row>
    <row r="16" spans="1:7" ht="18" x14ac:dyDescent="0.3">
      <c r="A16" s="96"/>
      <c r="B16" s="104"/>
      <c r="C16" s="104"/>
      <c r="D16" s="104"/>
      <c r="E16" s="104"/>
      <c r="F16" s="104"/>
      <c r="G16" s="104"/>
    </row>
    <row r="17" spans="1:7" ht="18" x14ac:dyDescent="0.3">
      <c r="A17" s="96" t="s">
        <v>15</v>
      </c>
      <c r="B17" s="104" t="s">
        <v>16</v>
      </c>
      <c r="C17" s="104"/>
      <c r="D17" s="104"/>
      <c r="E17" s="104"/>
      <c r="F17" s="104"/>
      <c r="G17" s="104"/>
    </row>
    <row r="18" spans="1:7" ht="18" x14ac:dyDescent="0.3">
      <c r="A18" s="96"/>
      <c r="B18" s="104" t="s">
        <v>17</v>
      </c>
      <c r="C18" s="104"/>
      <c r="D18" s="104"/>
      <c r="E18" s="104"/>
      <c r="F18" s="104"/>
      <c r="G18" s="104"/>
    </row>
    <row r="19" spans="1:7" ht="18" x14ac:dyDescent="0.3">
      <c r="A19" s="96"/>
      <c r="B19" s="104" t="s">
        <v>18</v>
      </c>
      <c r="C19" s="104"/>
      <c r="D19" s="104"/>
      <c r="E19" s="104"/>
      <c r="F19" s="104"/>
      <c r="G19" s="104"/>
    </row>
    <row r="20" spans="1:7" ht="18" x14ac:dyDescent="0.3">
      <c r="A20" s="96"/>
      <c r="B20" s="104" t="s">
        <v>19</v>
      </c>
      <c r="C20" s="104"/>
      <c r="D20" s="104"/>
      <c r="E20" s="104"/>
      <c r="F20" s="104"/>
      <c r="G20" s="104"/>
    </row>
    <row r="21" spans="1:7" ht="18" x14ac:dyDescent="0.3">
      <c r="A21" s="96" t="s">
        <v>20</v>
      </c>
      <c r="B21" s="104" t="s">
        <v>21</v>
      </c>
      <c r="C21" s="104"/>
      <c r="D21" s="104"/>
      <c r="E21" s="104"/>
      <c r="F21" s="104"/>
      <c r="G21" s="104"/>
    </row>
    <row r="22" spans="1:7" ht="18" x14ac:dyDescent="0.3">
      <c r="A22" s="96" t="s">
        <v>22</v>
      </c>
      <c r="B22" s="104" t="s">
        <v>247</v>
      </c>
      <c r="C22" s="104"/>
      <c r="D22" s="104"/>
      <c r="E22" s="104"/>
      <c r="F22" s="104"/>
      <c r="G22" s="104"/>
    </row>
    <row r="23" spans="1:7" ht="18" x14ac:dyDescent="0.3">
      <c r="A23" s="96"/>
      <c r="B23" s="104" t="s">
        <v>246</v>
      </c>
      <c r="C23" s="104"/>
      <c r="D23" s="104"/>
      <c r="E23" s="104"/>
      <c r="F23" s="104"/>
      <c r="G23" s="104"/>
    </row>
    <row r="24" spans="1:7" ht="18" x14ac:dyDescent="0.3">
      <c r="A24" s="96"/>
      <c r="B24" s="104" t="s">
        <v>238</v>
      </c>
      <c r="C24" s="104"/>
      <c r="D24" s="104"/>
      <c r="E24" s="104"/>
      <c r="F24" s="104"/>
      <c r="G24" s="104"/>
    </row>
    <row r="25" spans="1:7" ht="18" x14ac:dyDescent="0.3">
      <c r="A25" s="96"/>
      <c r="B25" s="104" t="s">
        <v>248</v>
      </c>
      <c r="C25" s="104"/>
      <c r="D25" s="104"/>
      <c r="E25" s="104"/>
      <c r="F25" s="104"/>
      <c r="G25" s="104"/>
    </row>
    <row r="26" spans="1:7" ht="18" x14ac:dyDescent="0.3">
      <c r="A26" s="96"/>
      <c r="B26" s="104" t="s">
        <v>249</v>
      </c>
      <c r="C26" s="104"/>
      <c r="D26" s="104"/>
      <c r="E26" s="104"/>
      <c r="F26" s="104"/>
      <c r="G26" s="104"/>
    </row>
    <row r="27" spans="1:7" ht="18" x14ac:dyDescent="0.3">
      <c r="A27" s="96"/>
      <c r="B27" s="104" t="s">
        <v>244</v>
      </c>
      <c r="C27" s="104"/>
      <c r="D27" s="104"/>
      <c r="E27" s="104"/>
      <c r="F27" s="104"/>
      <c r="G27" s="104"/>
    </row>
    <row r="28" spans="1:7" ht="18" x14ac:dyDescent="0.3">
      <c r="A28" s="96"/>
      <c r="B28" s="104" t="s">
        <v>250</v>
      </c>
      <c r="C28" s="104"/>
      <c r="D28" s="104"/>
      <c r="E28" s="104"/>
      <c r="F28" s="104"/>
      <c r="G28" s="104"/>
    </row>
  </sheetData>
  <mergeCells count="22">
    <mergeCell ref="B25:G25"/>
    <mergeCell ref="B26:G26"/>
    <mergeCell ref="B27:G27"/>
    <mergeCell ref="B28:G28"/>
    <mergeCell ref="A1:G1"/>
    <mergeCell ref="B2:G2"/>
    <mergeCell ref="B3:G3"/>
    <mergeCell ref="B8:G8"/>
    <mergeCell ref="B9:G9"/>
    <mergeCell ref="B4:G4"/>
    <mergeCell ref="B5:G5"/>
    <mergeCell ref="B6:G6"/>
    <mergeCell ref="B17:G17"/>
    <mergeCell ref="B18:G18"/>
    <mergeCell ref="B19:G19"/>
    <mergeCell ref="B7:G7"/>
    <mergeCell ref="B10:G16"/>
    <mergeCell ref="B24:G24"/>
    <mergeCell ref="B21:G21"/>
    <mergeCell ref="B22:G22"/>
    <mergeCell ref="B23:G23"/>
    <mergeCell ref="B20:G20"/>
  </mergeCells>
  <pageMargins left="0.7" right="0.7" top="0.75" bottom="0.75" header="0.3" footer="0.3"/>
  <pageSetup paperSize="9" scale="51" orientation="portrait" r:id="rId1"/>
  <headerFooter>
    <oddFooter>&amp;C&amp;"Arial,Normale"© www.banana.ch</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E70E-2721-48C0-86F9-C4B958DA5341}">
  <sheetPr>
    <pageSetUpPr fitToPage="1"/>
  </sheetPr>
  <dimension ref="A1:E65"/>
  <sheetViews>
    <sheetView topLeftCell="A33" zoomScale="90" zoomScaleNormal="90" workbookViewId="0">
      <selection sqref="A1:E54"/>
    </sheetView>
  </sheetViews>
  <sheetFormatPr defaultColWidth="8.6640625" defaultRowHeight="13.8" x14ac:dyDescent="0.25"/>
  <cols>
    <col min="1" max="1" width="25" style="2" customWidth="1"/>
    <col min="2" max="2" width="67.6640625" style="2" customWidth="1"/>
    <col min="3" max="3" width="11" style="2" customWidth="1"/>
    <col min="4" max="5" width="14.6640625" style="2" bestFit="1" customWidth="1"/>
    <col min="6" max="17" width="8.6640625" style="2"/>
    <col min="18" max="18" width="7" style="2" customWidth="1"/>
    <col min="19" max="19" width="9.6640625" style="2" customWidth="1"/>
    <col min="20" max="16384" width="8.6640625" style="2"/>
  </cols>
  <sheetData>
    <row r="1" spans="1:5" ht="21" x14ac:dyDescent="0.25">
      <c r="A1" s="112" t="s">
        <v>24</v>
      </c>
      <c r="B1" s="112"/>
      <c r="C1" s="112"/>
      <c r="D1" s="112"/>
      <c r="E1" s="112"/>
    </row>
    <row r="2" spans="1:5" ht="36" x14ac:dyDescent="0.25">
      <c r="A2" s="8" t="s">
        <v>0</v>
      </c>
      <c r="B2" s="111" t="str">
        <f>'General information'!B2</f>
        <v>No-ProfitName LegalForm</v>
      </c>
      <c r="C2" s="111"/>
      <c r="D2" s="111"/>
      <c r="E2" s="111"/>
    </row>
    <row r="3" spans="1:5" ht="18" x14ac:dyDescent="0.25">
      <c r="A3" s="9" t="s">
        <v>2</v>
      </c>
      <c r="B3" s="111" t="str">
        <f>'General information'!B3</f>
        <v>Address 1234, Country</v>
      </c>
      <c r="C3" s="111"/>
      <c r="D3" s="111"/>
      <c r="E3" s="111"/>
    </row>
    <row r="4" spans="1:5" ht="18" x14ac:dyDescent="0.25">
      <c r="A4" s="8" t="s">
        <v>12</v>
      </c>
      <c r="B4" s="113">
        <f>'General information'!B8</f>
        <v>45292</v>
      </c>
      <c r="C4" s="113"/>
      <c r="D4" s="113"/>
      <c r="E4" s="113"/>
    </row>
    <row r="5" spans="1:5" ht="18" x14ac:dyDescent="0.25">
      <c r="A5" s="8" t="s">
        <v>13</v>
      </c>
      <c r="B5" s="113">
        <f>'General information'!B9</f>
        <v>45657</v>
      </c>
      <c r="C5" s="113"/>
      <c r="D5" s="113"/>
      <c r="E5" s="113"/>
    </row>
    <row r="6" spans="1:5" ht="14.4" customHeight="1" x14ac:dyDescent="0.25">
      <c r="A6" s="107" t="s">
        <v>247</v>
      </c>
      <c r="B6" s="107"/>
      <c r="C6" s="107"/>
      <c r="D6" s="107"/>
      <c r="E6" s="107"/>
    </row>
    <row r="7" spans="1:5" ht="15" customHeight="1" x14ac:dyDescent="0.25">
      <c r="A7" s="107"/>
      <c r="B7" s="107"/>
      <c r="C7" s="107"/>
      <c r="D7" s="107"/>
      <c r="E7" s="107"/>
    </row>
    <row r="8" spans="1:5" ht="18" customHeight="1" x14ac:dyDescent="0.25">
      <c r="A8" s="107"/>
      <c r="B8" s="107"/>
      <c r="C8" s="107"/>
      <c r="D8" s="107"/>
      <c r="E8" s="107"/>
    </row>
    <row r="9" spans="1:5" ht="15" customHeight="1" x14ac:dyDescent="0.25">
      <c r="A9" s="74" t="s">
        <v>25</v>
      </c>
      <c r="B9" s="10" t="s">
        <v>26</v>
      </c>
      <c r="C9" s="21" t="s">
        <v>27</v>
      </c>
      <c r="D9" s="74">
        <f>$B$4-1</f>
        <v>45291</v>
      </c>
      <c r="E9" s="74">
        <f>$B$5</f>
        <v>45657</v>
      </c>
    </row>
    <row r="10" spans="1:5" ht="15" customHeight="1" x14ac:dyDescent="0.25">
      <c r="A10" s="44"/>
      <c r="B10" s="110" t="s">
        <v>28</v>
      </c>
      <c r="C10" s="110"/>
      <c r="D10" s="110"/>
      <c r="E10" s="110"/>
    </row>
    <row r="11" spans="1:5" ht="14.4" x14ac:dyDescent="0.25">
      <c r="A11" s="44" t="s">
        <v>29</v>
      </c>
      <c r="B11" s="38" t="s">
        <v>30</v>
      </c>
      <c r="C11" s="90">
        <v>1</v>
      </c>
      <c r="D11" s="14">
        <v>0</v>
      </c>
      <c r="E11" s="14">
        <v>0</v>
      </c>
    </row>
    <row r="12" spans="1:5" ht="14.7" customHeight="1" x14ac:dyDescent="0.25">
      <c r="A12" s="44" t="s">
        <v>31</v>
      </c>
      <c r="B12" s="38" t="s">
        <v>32</v>
      </c>
      <c r="C12" s="90">
        <v>2</v>
      </c>
      <c r="D12" s="14">
        <v>0</v>
      </c>
      <c r="E12" s="14">
        <f>'Notes of Financial Statement'!C48</f>
        <v>0</v>
      </c>
    </row>
    <row r="13" spans="1:5" ht="14.7" customHeight="1" x14ac:dyDescent="0.25">
      <c r="A13" s="44" t="s">
        <v>33</v>
      </c>
      <c r="B13" s="38" t="s">
        <v>34</v>
      </c>
      <c r="C13" s="90">
        <v>3</v>
      </c>
      <c r="D13" s="14">
        <v>0</v>
      </c>
      <c r="E13" s="14">
        <v>0</v>
      </c>
    </row>
    <row r="14" spans="1:5" ht="14.7" customHeight="1" x14ac:dyDescent="0.25">
      <c r="A14" s="44" t="s">
        <v>35</v>
      </c>
      <c r="B14" s="38" t="s">
        <v>36</v>
      </c>
      <c r="C14" s="90">
        <v>4</v>
      </c>
      <c r="D14" s="14">
        <v>0</v>
      </c>
      <c r="E14" s="14">
        <v>0</v>
      </c>
    </row>
    <row r="15" spans="1:5" ht="14.4" x14ac:dyDescent="0.25">
      <c r="A15" s="44"/>
      <c r="B15" s="54" t="s">
        <v>37</v>
      </c>
      <c r="C15" s="44"/>
      <c r="D15" s="62">
        <f>SUM(D11:D14)</f>
        <v>0</v>
      </c>
      <c r="E15" s="62">
        <f>SUM(E11:E14)</f>
        <v>0</v>
      </c>
    </row>
    <row r="16" spans="1:5" ht="14.4" x14ac:dyDescent="0.25">
      <c r="A16" s="44"/>
      <c r="B16" s="31"/>
      <c r="C16" s="31"/>
      <c r="D16" s="31"/>
      <c r="E16" s="31"/>
    </row>
    <row r="17" spans="1:5" ht="15" customHeight="1" x14ac:dyDescent="0.25">
      <c r="A17" s="44"/>
      <c r="B17" s="110" t="s">
        <v>38</v>
      </c>
      <c r="C17" s="110"/>
      <c r="D17" s="110"/>
      <c r="E17" s="110"/>
    </row>
    <row r="18" spans="1:5" ht="14.7" customHeight="1" x14ac:dyDescent="0.25">
      <c r="A18" s="44" t="s">
        <v>39</v>
      </c>
      <c r="B18" s="38" t="s">
        <v>39</v>
      </c>
      <c r="C18" s="90">
        <v>5</v>
      </c>
      <c r="D18" s="14">
        <v>0</v>
      </c>
      <c r="E18" s="14">
        <v>0</v>
      </c>
    </row>
    <row r="19" spans="1:5" ht="14.7" customHeight="1" x14ac:dyDescent="0.25">
      <c r="A19" s="44" t="s">
        <v>163</v>
      </c>
      <c r="B19" s="38" t="s">
        <v>163</v>
      </c>
      <c r="C19" s="90">
        <v>6</v>
      </c>
      <c r="D19" s="14">
        <v>0</v>
      </c>
      <c r="E19" s="14">
        <v>0</v>
      </c>
    </row>
    <row r="20" spans="1:5" ht="14.7" customHeight="1" x14ac:dyDescent="0.25">
      <c r="A20" s="44" t="s">
        <v>40</v>
      </c>
      <c r="B20" s="38" t="s">
        <v>40</v>
      </c>
      <c r="C20" s="90">
        <v>7</v>
      </c>
      <c r="D20" s="14">
        <v>0</v>
      </c>
      <c r="E20" s="14">
        <v>0</v>
      </c>
    </row>
    <row r="21" spans="1:5" ht="14.7" customHeight="1" x14ac:dyDescent="0.25">
      <c r="A21" s="44" t="s">
        <v>41</v>
      </c>
      <c r="B21" s="38" t="s">
        <v>41</v>
      </c>
      <c r="C21" s="90">
        <v>8</v>
      </c>
      <c r="D21" s="14">
        <v>0</v>
      </c>
      <c r="E21" s="14">
        <v>0</v>
      </c>
    </row>
    <row r="22" spans="1:5" ht="14.4" x14ac:dyDescent="0.25">
      <c r="A22" s="44"/>
      <c r="B22" s="54" t="s">
        <v>42</v>
      </c>
      <c r="C22" s="44"/>
      <c r="D22" s="63">
        <f>SUM(D18:D21)</f>
        <v>0</v>
      </c>
      <c r="E22" s="63">
        <f>SUM(E18:E21)</f>
        <v>0</v>
      </c>
    </row>
    <row r="23" spans="1:5" ht="15" customHeight="1" x14ac:dyDescent="0.25">
      <c r="A23" s="44"/>
      <c r="B23" s="54" t="s">
        <v>43</v>
      </c>
      <c r="C23" s="45"/>
      <c r="D23" s="63">
        <f>SUM(D15,D22)</f>
        <v>0</v>
      </c>
      <c r="E23" s="63">
        <f>SUM(E15,E22)</f>
        <v>0</v>
      </c>
    </row>
    <row r="24" spans="1:5" ht="15" customHeight="1" x14ac:dyDescent="0.25">
      <c r="A24" s="44"/>
      <c r="B24" s="35"/>
      <c r="C24" s="31"/>
      <c r="D24" s="31"/>
      <c r="E24" s="31"/>
    </row>
    <row r="25" spans="1:5" ht="15" customHeight="1" x14ac:dyDescent="0.25">
      <c r="A25" s="74" t="s">
        <v>25</v>
      </c>
      <c r="B25" s="10" t="s">
        <v>44</v>
      </c>
      <c r="C25" s="21" t="s">
        <v>27</v>
      </c>
      <c r="D25" s="74">
        <f>$B$4-1</f>
        <v>45291</v>
      </c>
      <c r="E25" s="74">
        <f>$B$5</f>
        <v>45657</v>
      </c>
    </row>
    <row r="26" spans="1:5" ht="15" customHeight="1" x14ac:dyDescent="0.25">
      <c r="A26" s="44"/>
      <c r="B26" s="110" t="s">
        <v>45</v>
      </c>
      <c r="C26" s="110"/>
      <c r="D26" s="110"/>
      <c r="E26" s="110"/>
    </row>
    <row r="27" spans="1:5" ht="14.7" customHeight="1" x14ac:dyDescent="0.25">
      <c r="A27" s="44" t="s">
        <v>193</v>
      </c>
      <c r="B27" s="38" t="s">
        <v>193</v>
      </c>
      <c r="C27" s="90">
        <v>9</v>
      </c>
      <c r="D27" s="14">
        <v>0</v>
      </c>
      <c r="E27" s="14">
        <v>0</v>
      </c>
    </row>
    <row r="28" spans="1:5" ht="14.7" customHeight="1" x14ac:dyDescent="0.25">
      <c r="A28" s="44" t="s">
        <v>194</v>
      </c>
      <c r="B28" s="38" t="s">
        <v>194</v>
      </c>
      <c r="C28" s="90">
        <v>10</v>
      </c>
      <c r="D28" s="14">
        <v>0</v>
      </c>
      <c r="E28" s="14">
        <v>0</v>
      </c>
    </row>
    <row r="29" spans="1:5" ht="14.7" customHeight="1" x14ac:dyDescent="0.25">
      <c r="A29" s="44" t="s">
        <v>195</v>
      </c>
      <c r="B29" s="38" t="s">
        <v>195</v>
      </c>
      <c r="C29" s="90">
        <v>11</v>
      </c>
      <c r="D29" s="14">
        <v>0</v>
      </c>
      <c r="E29" s="14">
        <v>0</v>
      </c>
    </row>
    <row r="30" spans="1:5" ht="14.7" customHeight="1" x14ac:dyDescent="0.25">
      <c r="A30" s="44" t="s">
        <v>46</v>
      </c>
      <c r="B30" s="38" t="s">
        <v>47</v>
      </c>
      <c r="C30" s="90">
        <v>12</v>
      </c>
      <c r="D30" s="14">
        <v>0</v>
      </c>
      <c r="E30" s="14">
        <v>0</v>
      </c>
    </row>
    <row r="31" spans="1:5" ht="14.7" customHeight="1" x14ac:dyDescent="0.25">
      <c r="A31" s="44" t="s">
        <v>48</v>
      </c>
      <c r="B31" s="38" t="s">
        <v>48</v>
      </c>
      <c r="C31" s="90">
        <v>13</v>
      </c>
      <c r="D31" s="14">
        <v>0</v>
      </c>
      <c r="E31" s="14">
        <v>0</v>
      </c>
    </row>
    <row r="32" spans="1:5" ht="14.7" customHeight="1" x14ac:dyDescent="0.25">
      <c r="A32" s="44" t="s">
        <v>49</v>
      </c>
      <c r="B32" s="38" t="s">
        <v>50</v>
      </c>
      <c r="C32" s="90">
        <v>14</v>
      </c>
      <c r="D32" s="14">
        <v>0</v>
      </c>
      <c r="E32" s="14">
        <v>0</v>
      </c>
    </row>
    <row r="33" spans="1:5" ht="14.4" x14ac:dyDescent="0.25">
      <c r="A33" s="44"/>
      <c r="B33" s="54" t="s">
        <v>51</v>
      </c>
      <c r="C33" s="44"/>
      <c r="D33" s="62">
        <f>SUM(D27:D32)</f>
        <v>0</v>
      </c>
      <c r="E33" s="62">
        <f>SUM(E27:E32)</f>
        <v>0</v>
      </c>
    </row>
    <row r="34" spans="1:5" ht="14.4" x14ac:dyDescent="0.25">
      <c r="A34" s="44"/>
      <c r="B34" s="31"/>
      <c r="C34" s="31"/>
      <c r="D34" s="31"/>
      <c r="E34" s="31"/>
    </row>
    <row r="35" spans="1:5" ht="14.7" customHeight="1" x14ac:dyDescent="0.25">
      <c r="A35" s="44"/>
      <c r="B35" s="110" t="s">
        <v>52</v>
      </c>
      <c r="C35" s="110"/>
      <c r="D35" s="110"/>
      <c r="E35" s="110"/>
    </row>
    <row r="36" spans="1:5" ht="14.7" customHeight="1" x14ac:dyDescent="0.25">
      <c r="A36" s="44" t="s">
        <v>53</v>
      </c>
      <c r="B36" s="38" t="s">
        <v>53</v>
      </c>
      <c r="C36" s="90">
        <v>15</v>
      </c>
      <c r="D36" s="14">
        <v>0</v>
      </c>
      <c r="E36" s="14">
        <v>0</v>
      </c>
    </row>
    <row r="37" spans="1:5" ht="15" customHeight="1" x14ac:dyDescent="0.25">
      <c r="A37" s="44" t="s">
        <v>54</v>
      </c>
      <c r="B37" s="38" t="s">
        <v>55</v>
      </c>
      <c r="C37" s="90">
        <v>16</v>
      </c>
      <c r="D37" s="14">
        <v>0</v>
      </c>
      <c r="E37" s="14">
        <v>0</v>
      </c>
    </row>
    <row r="38" spans="1:5" ht="15" customHeight="1" x14ac:dyDescent="0.25">
      <c r="A38" s="44" t="s">
        <v>56</v>
      </c>
      <c r="B38" s="38" t="s">
        <v>57</v>
      </c>
      <c r="C38" s="90">
        <v>17</v>
      </c>
      <c r="D38" s="14">
        <v>0</v>
      </c>
      <c r="E38" s="14">
        <v>0</v>
      </c>
    </row>
    <row r="39" spans="1:5" ht="14.4" x14ac:dyDescent="0.25">
      <c r="A39" s="44"/>
      <c r="B39" s="54" t="s">
        <v>58</v>
      </c>
      <c r="C39" s="44"/>
      <c r="D39" s="62">
        <f>SUM(D36:D38)</f>
        <v>0</v>
      </c>
      <c r="E39" s="62">
        <f>SUM(E36:E38)</f>
        <v>0</v>
      </c>
    </row>
    <row r="40" spans="1:5" ht="14.4" x14ac:dyDescent="0.25">
      <c r="A40" s="44"/>
      <c r="B40" s="31"/>
      <c r="C40" s="31"/>
      <c r="D40" s="31"/>
      <c r="E40" s="31"/>
    </row>
    <row r="41" spans="1:5" ht="15" customHeight="1" x14ac:dyDescent="0.25">
      <c r="A41" s="44"/>
      <c r="B41" s="110" t="s">
        <v>59</v>
      </c>
      <c r="C41" s="110"/>
      <c r="D41" s="110"/>
      <c r="E41" s="110"/>
    </row>
    <row r="42" spans="1:5" ht="14.7" customHeight="1" x14ac:dyDescent="0.25">
      <c r="A42" s="44" t="s">
        <v>60</v>
      </c>
      <c r="B42" s="38" t="s">
        <v>61</v>
      </c>
      <c r="C42" s="90">
        <v>18</v>
      </c>
      <c r="D42" s="14">
        <v>0</v>
      </c>
      <c r="E42" s="14">
        <v>0</v>
      </c>
    </row>
    <row r="43" spans="1:5" ht="14.7" customHeight="1" x14ac:dyDescent="0.25">
      <c r="A43" s="44" t="s">
        <v>62</v>
      </c>
      <c r="B43" s="38" t="s">
        <v>62</v>
      </c>
      <c r="C43" s="90">
        <v>19</v>
      </c>
      <c r="D43" s="14">
        <v>0</v>
      </c>
      <c r="E43" s="14">
        <v>0</v>
      </c>
    </row>
    <row r="44" spans="1:5" ht="15" customHeight="1" x14ac:dyDescent="0.25">
      <c r="A44" s="44" t="s">
        <v>252</v>
      </c>
      <c r="B44" s="38" t="s">
        <v>253</v>
      </c>
      <c r="C44" s="90">
        <v>20</v>
      </c>
      <c r="D44" s="14">
        <v>0</v>
      </c>
      <c r="E44" s="14">
        <v>0</v>
      </c>
    </row>
    <row r="45" spans="1:5" ht="14.7" customHeight="1" x14ac:dyDescent="0.25">
      <c r="A45" s="44" t="s">
        <v>63</v>
      </c>
      <c r="B45" s="38" t="s">
        <v>64</v>
      </c>
      <c r="C45" s="90">
        <v>21</v>
      </c>
      <c r="D45" s="14">
        <v>0</v>
      </c>
      <c r="E45" s="14">
        <v>0</v>
      </c>
    </row>
    <row r="46" spans="1:5" ht="14.7" customHeight="1" x14ac:dyDescent="0.25">
      <c r="A46" s="44" t="s">
        <v>65</v>
      </c>
      <c r="B46" s="38" t="s">
        <v>66</v>
      </c>
      <c r="C46" s="90">
        <v>22</v>
      </c>
      <c r="D46" s="14">
        <v>0</v>
      </c>
      <c r="E46" s="14">
        <v>0</v>
      </c>
    </row>
    <row r="47" spans="1:5" ht="14.7" customHeight="1" x14ac:dyDescent="0.25">
      <c r="A47" s="44" t="s">
        <v>67</v>
      </c>
      <c r="B47" s="38" t="s">
        <v>68</v>
      </c>
      <c r="C47" s="90">
        <v>23</v>
      </c>
      <c r="D47" s="14">
        <v>0</v>
      </c>
      <c r="E47" s="14">
        <v>0</v>
      </c>
    </row>
    <row r="48" spans="1:5" ht="14.7" customHeight="1" x14ac:dyDescent="0.25">
      <c r="A48" s="44" t="s">
        <v>69</v>
      </c>
      <c r="B48" s="38" t="s">
        <v>70</v>
      </c>
      <c r="C48" s="90">
        <v>24</v>
      </c>
      <c r="D48" s="14">
        <v>0</v>
      </c>
      <c r="E48" s="14">
        <v>0</v>
      </c>
    </row>
    <row r="49" spans="1:5" ht="15" customHeight="1" x14ac:dyDescent="0.25">
      <c r="A49" s="44"/>
      <c r="B49" s="110" t="s">
        <v>71</v>
      </c>
      <c r="C49" s="110"/>
      <c r="D49" s="62">
        <f>SUM(D42:D48)</f>
        <v>0</v>
      </c>
      <c r="E49" s="62">
        <f>SUM(E42:E48)</f>
        <v>0</v>
      </c>
    </row>
    <row r="50" spans="1:5" ht="15" customHeight="1" x14ac:dyDescent="0.25">
      <c r="A50" s="44"/>
      <c r="B50" s="110" t="s">
        <v>72</v>
      </c>
      <c r="C50" s="110"/>
      <c r="D50" s="62">
        <f>SUM(D33,D39,D49)</f>
        <v>0</v>
      </c>
      <c r="E50" s="62">
        <f>SUM(E33,E39,E49)</f>
        <v>0</v>
      </c>
    </row>
    <row r="51" spans="1:5" ht="15" customHeight="1" x14ac:dyDescent="0.3">
      <c r="A51" s="44"/>
      <c r="B51" s="58"/>
      <c r="C51" s="48"/>
      <c r="D51" s="48"/>
      <c r="E51" s="48"/>
    </row>
    <row r="52" spans="1:5" s="7" customFormat="1" ht="14.4" x14ac:dyDescent="0.3">
      <c r="A52" s="46"/>
      <c r="B52" s="59"/>
      <c r="C52" s="59"/>
      <c r="D52" s="59"/>
      <c r="E52" s="59"/>
    </row>
    <row r="53" spans="1:5" ht="15" customHeight="1" x14ac:dyDescent="0.25">
      <c r="A53" s="60" t="s">
        <v>73</v>
      </c>
      <c r="B53" s="109" t="str">
        <f>IF(ABS(D53)&lt;0.01,"Ok","Attention! The total liabilities do not match the total assets!")</f>
        <v>Ok</v>
      </c>
      <c r="C53" s="109"/>
      <c r="D53" s="53">
        <f>D50-D23</f>
        <v>0</v>
      </c>
    </row>
    <row r="54" spans="1:5" ht="14.4" x14ac:dyDescent="0.25">
      <c r="A54" s="61" t="s">
        <v>73</v>
      </c>
      <c r="B54" s="108" t="str">
        <f>IF(ABS(E54)&lt;0.01,"Ok","Attention! The total liabilities do not match the total assets!")</f>
        <v>Ok</v>
      </c>
      <c r="C54" s="108"/>
      <c r="D54" s="108"/>
      <c r="E54" s="53">
        <f>E50-E23</f>
        <v>0</v>
      </c>
    </row>
    <row r="63" spans="1:5" x14ac:dyDescent="0.25">
      <c r="B63" s="1"/>
    </row>
    <row r="65" spans="3:3" x14ac:dyDescent="0.25">
      <c r="C65" s="3"/>
    </row>
  </sheetData>
  <mergeCells count="15">
    <mergeCell ref="B2:E2"/>
    <mergeCell ref="A1:E1"/>
    <mergeCell ref="B3:E3"/>
    <mergeCell ref="B4:E4"/>
    <mergeCell ref="B5:E5"/>
    <mergeCell ref="A6:E8"/>
    <mergeCell ref="B54:D54"/>
    <mergeCell ref="B53:C53"/>
    <mergeCell ref="B49:C49"/>
    <mergeCell ref="B50:C50"/>
    <mergeCell ref="B41:E41"/>
    <mergeCell ref="B17:E17"/>
    <mergeCell ref="B35:E35"/>
    <mergeCell ref="B10:E10"/>
    <mergeCell ref="B26:E26"/>
  </mergeCells>
  <phoneticPr fontId="3" type="noConversion"/>
  <conditionalFormatting sqref="B53">
    <cfRule type="expression" dxfId="4" priority="5">
      <formula>"$B$88=""Ok"""</formula>
    </cfRule>
  </conditionalFormatting>
  <conditionalFormatting sqref="B53:B54">
    <cfRule type="expression" dxfId="3" priority="2">
      <formula>$B$53&lt;&gt;"Ok"</formula>
    </cfRule>
  </conditionalFormatting>
  <conditionalFormatting sqref="B54">
    <cfRule type="expression" dxfId="2" priority="1">
      <formula>"$B$88=""Ok"""</formula>
    </cfRule>
  </conditionalFormatting>
  <conditionalFormatting sqref="D53 E54">
    <cfRule type="cellIs" dxfId="1" priority="6" operator="notEqual">
      <formula>0</formula>
    </cfRule>
    <cfRule type="cellIs" dxfId="0" priority="7" operator="equal">
      <formula>0</formula>
    </cfRule>
  </conditionalFormatting>
  <pageMargins left="0.7" right="0.7" top="0.75" bottom="0.75" header="0.3" footer="0.3"/>
  <pageSetup paperSize="9" scale="65" orientation="portrait" r:id="rId1"/>
  <headerFooter>
    <oddFooter>&amp;C© www.banana.ch</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5644-0F3C-4FAE-9C72-61CD561CC363}">
  <sheetPr>
    <pageSetUpPr fitToPage="1"/>
  </sheetPr>
  <dimension ref="A1:G49"/>
  <sheetViews>
    <sheetView topLeftCell="A21" zoomScale="90" zoomScaleNormal="90" zoomScalePageLayoutView="85" workbookViewId="0">
      <selection sqref="A1:E41"/>
    </sheetView>
  </sheetViews>
  <sheetFormatPr defaultColWidth="8.6640625" defaultRowHeight="13.8" x14ac:dyDescent="0.25"/>
  <cols>
    <col min="1" max="1" width="25" style="2" customWidth="1"/>
    <col min="2" max="2" width="65.88671875" style="2" customWidth="1"/>
    <col min="3" max="3" width="12" style="2" customWidth="1"/>
    <col min="4" max="5" width="11.44140625" style="2" bestFit="1" customWidth="1"/>
    <col min="6" max="11" width="8.6640625" style="2"/>
    <col min="12" max="12" width="8.6640625" style="2" bestFit="1" customWidth="1"/>
    <col min="13" max="13" width="7" style="2" customWidth="1"/>
    <col min="14" max="14" width="9.33203125" style="2" customWidth="1"/>
    <col min="15" max="16384" width="8.6640625" style="2"/>
  </cols>
  <sheetData>
    <row r="1" spans="1:7" ht="21" x14ac:dyDescent="0.4">
      <c r="A1" s="114" t="s">
        <v>24</v>
      </c>
      <c r="B1" s="114"/>
      <c r="C1" s="114"/>
      <c r="D1" s="114"/>
      <c r="E1" s="114"/>
      <c r="F1" s="6"/>
      <c r="G1" s="6"/>
    </row>
    <row r="2" spans="1:7" ht="36" x14ac:dyDescent="0.35">
      <c r="A2" s="15" t="s">
        <v>0</v>
      </c>
      <c r="B2" s="115" t="str">
        <f>'General information'!B2</f>
        <v>No-ProfitName LegalForm</v>
      </c>
      <c r="C2" s="115"/>
      <c r="D2" s="115"/>
      <c r="E2" s="115"/>
    </row>
    <row r="3" spans="1:7" ht="18" x14ac:dyDescent="0.35">
      <c r="A3" s="16" t="s">
        <v>2</v>
      </c>
      <c r="B3" s="115" t="str">
        <f>'General information'!B3</f>
        <v>Address 1234, Country</v>
      </c>
      <c r="C3" s="115"/>
      <c r="D3" s="115"/>
      <c r="E3" s="115"/>
    </row>
    <row r="4" spans="1:7" ht="18" x14ac:dyDescent="0.35">
      <c r="A4" s="15" t="s">
        <v>12</v>
      </c>
      <c r="B4" s="116">
        <f>'General information'!B8</f>
        <v>45292</v>
      </c>
      <c r="C4" s="116"/>
      <c r="D4" s="116"/>
      <c r="E4" s="116"/>
    </row>
    <row r="5" spans="1:7" ht="18" x14ac:dyDescent="0.35">
      <c r="A5" s="15" t="s">
        <v>13</v>
      </c>
      <c r="B5" s="116">
        <f>'General information'!B9</f>
        <v>45657</v>
      </c>
      <c r="C5" s="116"/>
      <c r="D5" s="116"/>
      <c r="E5" s="116"/>
    </row>
    <row r="6" spans="1:7" ht="14.4" customHeight="1" x14ac:dyDescent="0.25">
      <c r="A6" s="107" t="s">
        <v>246</v>
      </c>
      <c r="B6" s="107"/>
      <c r="C6" s="107"/>
      <c r="D6" s="107"/>
      <c r="E6" s="107"/>
    </row>
    <row r="7" spans="1:7" ht="15" customHeight="1" x14ac:dyDescent="0.25">
      <c r="A7" s="107"/>
      <c r="B7" s="107"/>
      <c r="C7" s="107"/>
      <c r="D7" s="107"/>
      <c r="E7" s="107"/>
    </row>
    <row r="8" spans="1:7" ht="14.4" customHeight="1" x14ac:dyDescent="0.25">
      <c r="A8" s="107"/>
      <c r="B8" s="107"/>
      <c r="C8" s="107"/>
      <c r="D8" s="107"/>
      <c r="E8" s="107"/>
    </row>
    <row r="9" spans="1:7" ht="14.4" x14ac:dyDescent="0.3">
      <c r="A9" s="74" t="s">
        <v>25</v>
      </c>
      <c r="B9" s="17" t="s">
        <v>74</v>
      </c>
      <c r="C9" s="17" t="s">
        <v>27</v>
      </c>
      <c r="D9" s="84">
        <f>$B$4-1</f>
        <v>45291</v>
      </c>
      <c r="E9" s="84">
        <f>$B$5</f>
        <v>45657</v>
      </c>
    </row>
    <row r="10" spans="1:7" ht="14.7" customHeight="1" x14ac:dyDescent="0.3">
      <c r="A10" s="47" t="s">
        <v>190</v>
      </c>
      <c r="B10" s="36" t="s">
        <v>189</v>
      </c>
      <c r="C10" s="91">
        <v>25</v>
      </c>
      <c r="D10" s="19">
        <v>0</v>
      </c>
      <c r="E10" s="19">
        <v>0</v>
      </c>
    </row>
    <row r="11" spans="1:7" ht="14.7" customHeight="1" x14ac:dyDescent="0.3">
      <c r="A11" s="47" t="s">
        <v>191</v>
      </c>
      <c r="B11" s="36" t="s">
        <v>192</v>
      </c>
      <c r="C11" s="91">
        <v>26</v>
      </c>
      <c r="D11" s="19">
        <v>0</v>
      </c>
      <c r="E11" s="19">
        <v>0</v>
      </c>
    </row>
    <row r="12" spans="1:7" ht="14.7" customHeight="1" x14ac:dyDescent="0.3">
      <c r="A12" s="47" t="s">
        <v>196</v>
      </c>
      <c r="B12" s="36" t="s">
        <v>207</v>
      </c>
      <c r="C12" s="91">
        <v>27</v>
      </c>
      <c r="D12" s="19">
        <v>0</v>
      </c>
      <c r="E12" s="19">
        <v>0</v>
      </c>
    </row>
    <row r="13" spans="1:7" ht="14.7" customHeight="1" x14ac:dyDescent="0.3">
      <c r="A13" s="47" t="s">
        <v>197</v>
      </c>
      <c r="B13" s="36" t="s">
        <v>208</v>
      </c>
      <c r="C13" s="91">
        <v>28</v>
      </c>
      <c r="D13" s="19">
        <v>0</v>
      </c>
      <c r="E13" s="19">
        <v>0</v>
      </c>
    </row>
    <row r="14" spans="1:7" ht="14.7" customHeight="1" x14ac:dyDescent="0.3">
      <c r="A14" s="47" t="s">
        <v>198</v>
      </c>
      <c r="B14" s="36" t="s">
        <v>200</v>
      </c>
      <c r="C14" s="91">
        <v>29</v>
      </c>
      <c r="D14" s="19">
        <v>0</v>
      </c>
      <c r="E14" s="19">
        <v>0</v>
      </c>
    </row>
    <row r="15" spans="1:7" ht="14.7" customHeight="1" x14ac:dyDescent="0.3">
      <c r="A15" s="47" t="s">
        <v>199</v>
      </c>
      <c r="B15" s="36" t="s">
        <v>201</v>
      </c>
      <c r="C15" s="91">
        <v>30</v>
      </c>
      <c r="D15" s="19">
        <v>0</v>
      </c>
      <c r="E15" s="19">
        <v>0</v>
      </c>
    </row>
    <row r="16" spans="1:7" ht="14.7" customHeight="1" x14ac:dyDescent="0.3">
      <c r="A16" s="47" t="s">
        <v>75</v>
      </c>
      <c r="B16" s="36" t="s">
        <v>76</v>
      </c>
      <c r="C16" s="91">
        <v>31</v>
      </c>
      <c r="D16" s="19">
        <v>0</v>
      </c>
      <c r="E16" s="19">
        <v>0</v>
      </c>
    </row>
    <row r="17" spans="1:5" ht="14.7" customHeight="1" x14ac:dyDescent="0.3">
      <c r="A17" s="47" t="s">
        <v>77</v>
      </c>
      <c r="B17" s="36" t="s">
        <v>78</v>
      </c>
      <c r="C17" s="91">
        <v>32</v>
      </c>
      <c r="D17" s="19">
        <v>0</v>
      </c>
      <c r="E17" s="19">
        <v>0</v>
      </c>
    </row>
    <row r="18" spans="1:5" ht="14.7" customHeight="1" x14ac:dyDescent="0.3">
      <c r="A18" s="47" t="s">
        <v>79</v>
      </c>
      <c r="B18" s="36" t="s">
        <v>80</v>
      </c>
      <c r="C18" s="91">
        <v>33</v>
      </c>
      <c r="D18" s="19">
        <v>0</v>
      </c>
      <c r="E18" s="19">
        <v>0</v>
      </c>
    </row>
    <row r="19" spans="1:5" ht="14.7" customHeight="1" x14ac:dyDescent="0.3">
      <c r="A19" s="47" t="s">
        <v>81</v>
      </c>
      <c r="B19" s="36" t="s">
        <v>82</v>
      </c>
      <c r="C19" s="91">
        <v>34</v>
      </c>
      <c r="D19" s="19">
        <v>0</v>
      </c>
      <c r="E19" s="19">
        <v>0</v>
      </c>
    </row>
    <row r="20" spans="1:5" ht="14.7" customHeight="1" x14ac:dyDescent="0.3">
      <c r="A20" s="47"/>
      <c r="B20" s="64" t="s">
        <v>83</v>
      </c>
      <c r="C20" s="64"/>
      <c r="D20" s="65">
        <f>SUM(D10:D19)</f>
        <v>0</v>
      </c>
      <c r="E20" s="65">
        <f>SUM(E10:E19)</f>
        <v>0</v>
      </c>
    </row>
    <row r="21" spans="1:5" ht="14.7" customHeight="1" x14ac:dyDescent="0.3">
      <c r="A21" s="47"/>
      <c r="B21" s="36"/>
      <c r="C21" s="36"/>
      <c r="D21" s="49"/>
      <c r="E21" s="49"/>
    </row>
    <row r="22" spans="1:5" ht="14.7" customHeight="1" x14ac:dyDescent="0.3">
      <c r="A22" s="74" t="s">
        <v>25</v>
      </c>
      <c r="B22" s="17" t="s">
        <v>84</v>
      </c>
      <c r="C22" s="17" t="s">
        <v>27</v>
      </c>
      <c r="D22" s="84">
        <f>$B$4-1</f>
        <v>45291</v>
      </c>
      <c r="E22" s="84">
        <f>$B$5</f>
        <v>45657</v>
      </c>
    </row>
    <row r="23" spans="1:5" ht="14.7" customHeight="1" x14ac:dyDescent="0.3">
      <c r="A23" s="47" t="s">
        <v>212</v>
      </c>
      <c r="B23" s="36" t="s">
        <v>209</v>
      </c>
      <c r="C23" s="91">
        <v>35</v>
      </c>
      <c r="D23" s="19">
        <v>0</v>
      </c>
      <c r="E23" s="19">
        <v>0</v>
      </c>
    </row>
    <row r="24" spans="1:5" ht="14.7" customHeight="1" x14ac:dyDescent="0.3">
      <c r="A24" s="47" t="s">
        <v>213</v>
      </c>
      <c r="B24" s="36" t="s">
        <v>210</v>
      </c>
      <c r="C24" s="91">
        <v>36</v>
      </c>
      <c r="D24" s="19">
        <v>0</v>
      </c>
      <c r="E24" s="19">
        <v>0</v>
      </c>
    </row>
    <row r="25" spans="1:5" ht="14.7" customHeight="1" x14ac:dyDescent="0.3">
      <c r="A25" s="47" t="s">
        <v>214</v>
      </c>
      <c r="B25" s="36" t="s">
        <v>211</v>
      </c>
      <c r="C25" s="91">
        <v>37</v>
      </c>
      <c r="D25" s="19">
        <v>0</v>
      </c>
      <c r="E25" s="19">
        <v>0</v>
      </c>
    </row>
    <row r="26" spans="1:5" ht="14.7" customHeight="1" x14ac:dyDescent="0.3">
      <c r="A26" s="47" t="s">
        <v>203</v>
      </c>
      <c r="B26" s="36" t="s">
        <v>202</v>
      </c>
      <c r="C26" s="91">
        <v>38</v>
      </c>
      <c r="D26" s="19">
        <v>0</v>
      </c>
      <c r="E26" s="19">
        <v>0</v>
      </c>
    </row>
    <row r="27" spans="1:5" ht="15" customHeight="1" x14ac:dyDescent="0.3">
      <c r="A27" s="47" t="s">
        <v>86</v>
      </c>
      <c r="B27" s="36" t="s">
        <v>87</v>
      </c>
      <c r="C27" s="91">
        <v>39</v>
      </c>
      <c r="D27" s="19">
        <v>0</v>
      </c>
      <c r="E27" s="19">
        <v>0</v>
      </c>
    </row>
    <row r="28" spans="1:5" ht="14.7" customHeight="1" x14ac:dyDescent="0.3">
      <c r="A28" s="47" t="s">
        <v>88</v>
      </c>
      <c r="B28" s="36" t="s">
        <v>89</v>
      </c>
      <c r="C28" s="91">
        <v>40</v>
      </c>
      <c r="D28" s="19">
        <v>0</v>
      </c>
      <c r="E28" s="19">
        <v>0</v>
      </c>
    </row>
    <row r="29" spans="1:5" ht="14.7" customHeight="1" x14ac:dyDescent="0.3">
      <c r="A29" s="47" t="s">
        <v>90</v>
      </c>
      <c r="B29" s="36" t="s">
        <v>91</v>
      </c>
      <c r="C29" s="91">
        <v>41</v>
      </c>
      <c r="D29" s="19">
        <v>0</v>
      </c>
      <c r="E29" s="19">
        <v>0</v>
      </c>
    </row>
    <row r="30" spans="1:5" ht="15" customHeight="1" x14ac:dyDescent="0.3">
      <c r="A30" s="47" t="s">
        <v>92</v>
      </c>
      <c r="B30" s="36" t="s">
        <v>93</v>
      </c>
      <c r="C30" s="91">
        <v>42</v>
      </c>
      <c r="D30" s="19">
        <v>0</v>
      </c>
      <c r="E30" s="19">
        <v>0</v>
      </c>
    </row>
    <row r="31" spans="1:5" ht="15" customHeight="1" x14ac:dyDescent="0.3">
      <c r="A31" s="47"/>
      <c r="B31" s="64" t="s">
        <v>94</v>
      </c>
      <c r="C31" s="64"/>
      <c r="D31" s="65">
        <f>SUM(D23:D30)</f>
        <v>0</v>
      </c>
      <c r="E31" s="65">
        <f>SUM(E23:E30)</f>
        <v>0</v>
      </c>
    </row>
    <row r="32" spans="1:5" ht="15" customHeight="1" x14ac:dyDescent="0.3">
      <c r="A32" s="47"/>
      <c r="B32" s="18"/>
      <c r="C32" s="36"/>
      <c r="D32" s="49"/>
      <c r="E32" s="49"/>
    </row>
    <row r="33" spans="1:5" ht="15" customHeight="1" x14ac:dyDescent="0.3">
      <c r="A33" s="74" t="s">
        <v>25</v>
      </c>
      <c r="B33" s="56" t="s">
        <v>95</v>
      </c>
      <c r="C33" s="17" t="s">
        <v>27</v>
      </c>
      <c r="D33" s="103">
        <f>SUM(D20,D31)</f>
        <v>0</v>
      </c>
      <c r="E33" s="103">
        <f>SUM(E20,E31)</f>
        <v>0</v>
      </c>
    </row>
    <row r="34" spans="1:5" ht="15" customHeight="1" x14ac:dyDescent="0.3">
      <c r="A34" s="47" t="s">
        <v>96</v>
      </c>
      <c r="B34" s="36" t="s">
        <v>216</v>
      </c>
      <c r="C34" s="91">
        <v>43</v>
      </c>
      <c r="D34" s="19">
        <v>0</v>
      </c>
      <c r="E34" s="19">
        <v>0</v>
      </c>
    </row>
    <row r="35" spans="1:5" ht="15" customHeight="1" x14ac:dyDescent="0.3">
      <c r="A35" s="47" t="s">
        <v>97</v>
      </c>
      <c r="B35" s="36" t="s">
        <v>217</v>
      </c>
      <c r="C35" s="91">
        <v>44</v>
      </c>
      <c r="D35" s="19">
        <v>0</v>
      </c>
      <c r="E35" s="19">
        <v>0</v>
      </c>
    </row>
    <row r="36" spans="1:5" ht="15" customHeight="1" x14ac:dyDescent="0.3">
      <c r="A36" s="47" t="s">
        <v>98</v>
      </c>
      <c r="B36" s="36" t="s">
        <v>218</v>
      </c>
      <c r="C36" s="91">
        <v>45</v>
      </c>
      <c r="D36" s="19">
        <v>0</v>
      </c>
      <c r="E36" s="19">
        <v>0</v>
      </c>
    </row>
    <row r="37" spans="1:5" ht="15" customHeight="1" x14ac:dyDescent="0.3">
      <c r="A37" s="47" t="s">
        <v>99</v>
      </c>
      <c r="B37" s="36" t="s">
        <v>219</v>
      </c>
      <c r="C37" s="91">
        <v>46</v>
      </c>
      <c r="D37" s="19">
        <v>0</v>
      </c>
      <c r="E37" s="19">
        <v>0</v>
      </c>
    </row>
    <row r="38" spans="1:5" ht="15" customHeight="1" x14ac:dyDescent="0.3">
      <c r="A38" s="47" t="s">
        <v>100</v>
      </c>
      <c r="B38" s="36" t="s">
        <v>220</v>
      </c>
      <c r="C38" s="91">
        <v>47</v>
      </c>
      <c r="D38" s="19">
        <v>0</v>
      </c>
      <c r="E38" s="19">
        <v>0</v>
      </c>
    </row>
    <row r="39" spans="1:5" ht="15" customHeight="1" x14ac:dyDescent="0.3">
      <c r="A39" s="47" t="s">
        <v>101</v>
      </c>
      <c r="B39" s="36" t="s">
        <v>221</v>
      </c>
      <c r="C39" s="91">
        <v>48</v>
      </c>
      <c r="D39" s="19">
        <v>0</v>
      </c>
      <c r="E39" s="19">
        <v>0</v>
      </c>
    </row>
    <row r="40" spans="1:5" ht="15" customHeight="1" x14ac:dyDescent="0.3">
      <c r="A40" s="47"/>
      <c r="B40" s="86" t="s">
        <v>254</v>
      </c>
      <c r="C40" s="86"/>
      <c r="D40" s="87">
        <f>SUM($D34:$D39)</f>
        <v>0</v>
      </c>
      <c r="E40" s="87">
        <f>SUM($E34:$E39)</f>
        <v>0</v>
      </c>
    </row>
    <row r="41" spans="1:5" ht="14.4" x14ac:dyDescent="0.3">
      <c r="A41" s="12"/>
      <c r="B41" s="64" t="s">
        <v>255</v>
      </c>
      <c r="C41" s="64"/>
      <c r="D41" s="66">
        <f>SUM(D33,D40)</f>
        <v>0</v>
      </c>
      <c r="E41" s="66">
        <f>SUM(E33,E40)</f>
        <v>0</v>
      </c>
    </row>
    <row r="48" spans="1:5" x14ac:dyDescent="0.25">
      <c r="B48" s="1"/>
    </row>
    <row r="49" spans="4:4" x14ac:dyDescent="0.25">
      <c r="D49" s="3"/>
    </row>
  </sheetData>
  <mergeCells count="6">
    <mergeCell ref="A6:E8"/>
    <mergeCell ref="A1:E1"/>
    <mergeCell ref="B2:E2"/>
    <mergeCell ref="B3:E3"/>
    <mergeCell ref="B4:E4"/>
    <mergeCell ref="B5:E5"/>
  </mergeCells>
  <pageMargins left="0.7" right="0.7" top="0.75" bottom="0.75" header="0.3" footer="0.3"/>
  <pageSetup paperSize="9" scale="69" orientation="portrait" r:id="rId1"/>
  <headerFooter>
    <oddFooter>&amp;C© www.banana.ch</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B013-C86F-4D4E-83B3-A484CE5618BF}">
  <sheetPr>
    <pageSetUpPr fitToPage="1"/>
  </sheetPr>
  <dimension ref="A1:H25"/>
  <sheetViews>
    <sheetView zoomScale="90" zoomScaleNormal="90" workbookViewId="0">
      <selection sqref="A1:E1"/>
    </sheetView>
  </sheetViews>
  <sheetFormatPr defaultRowHeight="14.4" x14ac:dyDescent="0.3"/>
  <cols>
    <col min="1" max="1" width="25" customWidth="1"/>
    <col min="2" max="2" width="40.6640625" bestFit="1" customWidth="1"/>
    <col min="3" max="3" width="74.33203125" customWidth="1"/>
    <col min="4" max="4" width="11.5546875" customWidth="1"/>
    <col min="5" max="5" width="13.109375" customWidth="1"/>
  </cols>
  <sheetData>
    <row r="1" spans="1:8" ht="21" x14ac:dyDescent="0.4">
      <c r="A1" s="112" t="s">
        <v>24</v>
      </c>
      <c r="B1" s="112"/>
      <c r="C1" s="112"/>
      <c r="D1" s="112"/>
      <c r="E1" s="112"/>
      <c r="F1" s="6"/>
      <c r="G1" s="6"/>
      <c r="H1" s="6"/>
    </row>
    <row r="2" spans="1:8" s="2" customFormat="1" ht="36" x14ac:dyDescent="0.25">
      <c r="A2" s="8" t="s">
        <v>0</v>
      </c>
      <c r="B2" s="111" t="str">
        <f>'General information'!B2</f>
        <v>No-ProfitName LegalForm</v>
      </c>
      <c r="C2" s="111"/>
      <c r="D2" s="111"/>
      <c r="E2" s="111"/>
    </row>
    <row r="3" spans="1:8" s="2" customFormat="1" ht="18" x14ac:dyDescent="0.25">
      <c r="A3" s="9" t="s">
        <v>2</v>
      </c>
      <c r="B3" s="111" t="str">
        <f>'General information'!B3</f>
        <v>Address 1234, Country</v>
      </c>
      <c r="C3" s="111"/>
      <c r="D3" s="111"/>
      <c r="E3" s="111"/>
    </row>
    <row r="4" spans="1:8" s="2" customFormat="1" ht="18" x14ac:dyDescent="0.25">
      <c r="A4" s="8" t="s">
        <v>12</v>
      </c>
      <c r="B4" s="113">
        <f>'General information'!B8</f>
        <v>45292</v>
      </c>
      <c r="C4" s="113"/>
      <c r="D4" s="113"/>
      <c r="E4" s="113"/>
    </row>
    <row r="5" spans="1:8" s="2" customFormat="1" ht="18" x14ac:dyDescent="0.25">
      <c r="A5" s="8" t="s">
        <v>13</v>
      </c>
      <c r="B5" s="113">
        <f>'General information'!B9</f>
        <v>45657</v>
      </c>
      <c r="C5" s="113"/>
      <c r="D5" s="113"/>
      <c r="E5" s="113"/>
    </row>
    <row r="6" spans="1:8" x14ac:dyDescent="0.3">
      <c r="A6" s="107" t="s">
        <v>238</v>
      </c>
      <c r="B6" s="107"/>
      <c r="C6" s="107"/>
      <c r="D6" s="107"/>
      <c r="E6" s="107"/>
    </row>
    <row r="7" spans="1:8" ht="18" customHeight="1" x14ac:dyDescent="0.3">
      <c r="A7" s="107"/>
      <c r="B7" s="107"/>
      <c r="C7" s="107"/>
      <c r="D7" s="107"/>
      <c r="E7" s="107"/>
    </row>
    <row r="8" spans="1:8" ht="18.75" customHeight="1" x14ac:dyDescent="0.3">
      <c r="A8" s="107"/>
      <c r="B8" s="107"/>
      <c r="C8" s="107"/>
      <c r="D8" s="107"/>
      <c r="E8" s="107"/>
    </row>
    <row r="9" spans="1:8" x14ac:dyDescent="0.3">
      <c r="A9" s="74" t="s">
        <v>103</v>
      </c>
      <c r="B9" s="75" t="s">
        <v>45</v>
      </c>
      <c r="C9" s="75"/>
      <c r="D9" s="74">
        <f>$B$4</f>
        <v>45292</v>
      </c>
      <c r="E9" s="74">
        <f>$B$5</f>
        <v>45657</v>
      </c>
    </row>
    <row r="10" spans="1:8" x14ac:dyDescent="0.3">
      <c r="A10" s="44" t="s">
        <v>102</v>
      </c>
      <c r="B10" s="117" t="s">
        <v>239</v>
      </c>
      <c r="C10" s="117"/>
      <c r="D10" s="14">
        <f>'Statement of Financial Position'!D33</f>
        <v>0</v>
      </c>
      <c r="E10" s="13"/>
    </row>
    <row r="11" spans="1:8" x14ac:dyDescent="0.3">
      <c r="A11" s="44"/>
      <c r="B11" s="52"/>
      <c r="C11" s="52"/>
      <c r="D11" s="53"/>
      <c r="E11" s="31"/>
    </row>
    <row r="12" spans="1:8" ht="28.8" x14ac:dyDescent="0.3">
      <c r="A12" s="74" t="s">
        <v>103</v>
      </c>
      <c r="B12" s="75" t="s">
        <v>256</v>
      </c>
      <c r="C12" s="75"/>
      <c r="D12" s="74">
        <f>$B$4</f>
        <v>45292</v>
      </c>
      <c r="E12" s="74">
        <f>$B$5</f>
        <v>45657</v>
      </c>
    </row>
    <row r="13" spans="1:8" x14ac:dyDescent="0.3">
      <c r="A13" s="44" t="s">
        <v>104</v>
      </c>
      <c r="B13" s="119" t="s">
        <v>155</v>
      </c>
      <c r="C13" s="119"/>
      <c r="D13" s="119"/>
      <c r="E13" s="14">
        <f>'Statement of Income &amp; Expenses'!E41</f>
        <v>0</v>
      </c>
    </row>
    <row r="14" spans="1:8" x14ac:dyDescent="0.3">
      <c r="A14" s="44" t="s">
        <v>105</v>
      </c>
      <c r="B14" s="119" t="s">
        <v>257</v>
      </c>
      <c r="C14" s="119"/>
      <c r="D14" s="119"/>
      <c r="E14" s="14">
        <v>0</v>
      </c>
    </row>
    <row r="15" spans="1:8" x14ac:dyDescent="0.3">
      <c r="A15" s="44"/>
      <c r="B15" s="118" t="s">
        <v>258</v>
      </c>
      <c r="C15" s="118"/>
      <c r="D15" s="118"/>
      <c r="E15" s="67">
        <f>SUM(E13:E14)</f>
        <v>0</v>
      </c>
    </row>
    <row r="16" spans="1:8" x14ac:dyDescent="0.3">
      <c r="A16" s="44"/>
      <c r="B16" s="50"/>
      <c r="C16" s="50"/>
      <c r="D16" s="50"/>
      <c r="E16" s="51"/>
    </row>
    <row r="17" spans="1:6" ht="28.8" x14ac:dyDescent="0.3">
      <c r="A17" s="74" t="s">
        <v>103</v>
      </c>
      <c r="B17" s="20" t="s">
        <v>259</v>
      </c>
      <c r="C17" s="20"/>
      <c r="D17" s="76">
        <f>$B$4</f>
        <v>45292</v>
      </c>
      <c r="E17" s="74">
        <f>$B$5</f>
        <v>45657</v>
      </c>
    </row>
    <row r="18" spans="1:6" x14ac:dyDescent="0.3">
      <c r="A18" s="44" t="s">
        <v>204</v>
      </c>
      <c r="B18" s="120" t="s">
        <v>222</v>
      </c>
      <c r="C18" s="120"/>
      <c r="D18" s="120"/>
      <c r="E18" s="14">
        <v>0</v>
      </c>
    </row>
    <row r="19" spans="1:6" x14ac:dyDescent="0.3">
      <c r="A19" s="44" t="s">
        <v>205</v>
      </c>
      <c r="B19" s="120" t="s">
        <v>223</v>
      </c>
      <c r="C19" s="120"/>
      <c r="D19" s="120"/>
      <c r="E19" s="14">
        <v>0</v>
      </c>
    </row>
    <row r="20" spans="1:6" x14ac:dyDescent="0.3">
      <c r="A20" s="44" t="s">
        <v>206</v>
      </c>
      <c r="B20" s="120" t="s">
        <v>224</v>
      </c>
      <c r="C20" s="120"/>
      <c r="D20" s="120"/>
      <c r="E20" s="14">
        <v>0</v>
      </c>
    </row>
    <row r="21" spans="1:6" ht="14.4" customHeight="1" x14ac:dyDescent="0.3">
      <c r="A21" s="44" t="s">
        <v>156</v>
      </c>
      <c r="B21" s="120" t="s">
        <v>225</v>
      </c>
      <c r="C21" s="120"/>
      <c r="D21" s="120"/>
      <c r="E21" s="14">
        <v>0</v>
      </c>
    </row>
    <row r="22" spans="1:6" x14ac:dyDescent="0.3">
      <c r="A22" s="44" t="s">
        <v>157</v>
      </c>
      <c r="B22" s="119" t="s">
        <v>226</v>
      </c>
      <c r="C22" s="119"/>
      <c r="D22" s="119"/>
      <c r="E22" s="14">
        <v>0</v>
      </c>
    </row>
    <row r="23" spans="1:6" x14ac:dyDescent="0.3">
      <c r="A23" s="44"/>
      <c r="B23" s="118" t="s">
        <v>260</v>
      </c>
      <c r="C23" s="118"/>
      <c r="D23" s="118"/>
      <c r="E23" s="67">
        <f>SUM(E18:E22)</f>
        <v>0</v>
      </c>
      <c r="F23" s="5"/>
    </row>
    <row r="24" spans="1:6" x14ac:dyDescent="0.3">
      <c r="A24" s="44"/>
      <c r="B24" s="50"/>
      <c r="C24" s="50"/>
      <c r="D24" s="50"/>
      <c r="E24" s="51"/>
    </row>
    <row r="25" spans="1:6" x14ac:dyDescent="0.3">
      <c r="A25" s="44" t="s">
        <v>106</v>
      </c>
      <c r="B25" s="118" t="s">
        <v>240</v>
      </c>
      <c r="C25" s="118"/>
      <c r="D25" s="118"/>
      <c r="E25" s="62">
        <f>SUM(D10,E15,E23)</f>
        <v>0</v>
      </c>
    </row>
  </sheetData>
  <mergeCells count="17">
    <mergeCell ref="A1:E1"/>
    <mergeCell ref="B2:E2"/>
    <mergeCell ref="B3:E3"/>
    <mergeCell ref="B4:E4"/>
    <mergeCell ref="B5:E5"/>
    <mergeCell ref="B10:C10"/>
    <mergeCell ref="A6:E8"/>
    <mergeCell ref="B25:D25"/>
    <mergeCell ref="B13:D13"/>
    <mergeCell ref="B14:D14"/>
    <mergeCell ref="B19:D19"/>
    <mergeCell ref="B21:D21"/>
    <mergeCell ref="B22:D22"/>
    <mergeCell ref="B23:D23"/>
    <mergeCell ref="B15:D15"/>
    <mergeCell ref="B20:D20"/>
    <mergeCell ref="B18:D18"/>
  </mergeCells>
  <pageMargins left="0.7" right="0.7" top="0.75" bottom="0.75" header="0.3" footer="0.3"/>
  <pageSetup paperSize="9" scale="79" orientation="landscape" r:id="rId1"/>
  <headerFooter>
    <oddFooter>&amp;C© www.banana.ch</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4413-BC7C-4C39-98BE-6342194E425F}">
  <sheetPr>
    <pageSetUpPr fitToPage="1"/>
  </sheetPr>
  <dimension ref="A1:F58"/>
  <sheetViews>
    <sheetView zoomScale="90" zoomScaleNormal="90" workbookViewId="0">
      <selection sqref="A1:E1"/>
    </sheetView>
  </sheetViews>
  <sheetFormatPr defaultColWidth="8.6640625" defaultRowHeight="13.8" x14ac:dyDescent="0.25"/>
  <cols>
    <col min="1" max="1" width="25" style="2" customWidth="1"/>
    <col min="2" max="2" width="15.33203125" style="2" customWidth="1"/>
    <col min="3" max="3" width="98.88671875" style="2" customWidth="1"/>
    <col min="4" max="4" width="6.6640625" style="2" bestFit="1" customWidth="1"/>
    <col min="5" max="5" width="11.5546875" style="2" customWidth="1"/>
    <col min="6" max="16384" width="8.6640625" style="2"/>
  </cols>
  <sheetData>
    <row r="1" spans="1:6" ht="21" x14ac:dyDescent="0.4">
      <c r="A1" s="112" t="s">
        <v>24</v>
      </c>
      <c r="B1" s="112"/>
      <c r="C1" s="112"/>
      <c r="D1" s="112"/>
      <c r="E1" s="112"/>
      <c r="F1" s="6"/>
    </row>
    <row r="2" spans="1:6" ht="36" x14ac:dyDescent="0.25">
      <c r="A2" s="8" t="s">
        <v>0</v>
      </c>
      <c r="B2" s="111" t="str">
        <f>'General information'!B2</f>
        <v>No-ProfitName LegalForm</v>
      </c>
      <c r="C2" s="111"/>
      <c r="D2" s="111"/>
      <c r="E2" s="111"/>
    </row>
    <row r="3" spans="1:6" ht="18" x14ac:dyDescent="0.25">
      <c r="A3" s="9" t="s">
        <v>2</v>
      </c>
      <c r="B3" s="111" t="str">
        <f>'General information'!B3</f>
        <v>Address 1234, Country</v>
      </c>
      <c r="C3" s="111"/>
      <c r="D3" s="111"/>
      <c r="E3" s="111"/>
    </row>
    <row r="4" spans="1:6" ht="18" x14ac:dyDescent="0.25">
      <c r="A4" s="8" t="s">
        <v>12</v>
      </c>
      <c r="B4" s="113">
        <f>'General information'!B8</f>
        <v>45292</v>
      </c>
      <c r="C4" s="113"/>
      <c r="D4" s="113"/>
      <c r="E4" s="113"/>
    </row>
    <row r="5" spans="1:6" ht="18" x14ac:dyDescent="0.25">
      <c r="A5" s="8" t="s">
        <v>13</v>
      </c>
      <c r="B5" s="113">
        <f>'General information'!B9</f>
        <v>45657</v>
      </c>
      <c r="C5" s="113"/>
      <c r="D5" s="113"/>
      <c r="E5" s="113"/>
    </row>
    <row r="6" spans="1:6" ht="14.4" customHeight="1" x14ac:dyDescent="0.25">
      <c r="A6" s="107" t="s">
        <v>245</v>
      </c>
      <c r="B6" s="107"/>
      <c r="C6" s="107"/>
      <c r="D6" s="107"/>
      <c r="E6" s="107"/>
    </row>
    <row r="7" spans="1:6" ht="18.75" customHeight="1" x14ac:dyDescent="0.25">
      <c r="A7" s="107"/>
      <c r="B7" s="107"/>
      <c r="C7" s="107"/>
      <c r="D7" s="107"/>
      <c r="E7" s="107"/>
    </row>
    <row r="8" spans="1:6" ht="18.75" customHeight="1" x14ac:dyDescent="0.25">
      <c r="A8" s="107"/>
      <c r="B8" s="107"/>
      <c r="C8" s="107"/>
      <c r="D8" s="107"/>
      <c r="E8" s="107"/>
    </row>
    <row r="9" spans="1:6" ht="15" customHeight="1" x14ac:dyDescent="0.25">
      <c r="A9" s="74" t="s">
        <v>103</v>
      </c>
      <c r="B9" s="123" t="s">
        <v>154</v>
      </c>
      <c r="C9" s="123"/>
      <c r="D9" s="74" t="s">
        <v>27</v>
      </c>
      <c r="E9" s="74">
        <f>$B$5</f>
        <v>45657</v>
      </c>
    </row>
    <row r="10" spans="1:6" ht="15" customHeight="1" x14ac:dyDescent="0.25">
      <c r="A10" s="44" t="s">
        <v>107</v>
      </c>
      <c r="B10" s="110" t="s">
        <v>155</v>
      </c>
      <c r="C10" s="110"/>
      <c r="D10" s="110"/>
      <c r="E10" s="22">
        <f>'Statement of Income &amp; Expenses'!E41</f>
        <v>0</v>
      </c>
    </row>
    <row r="11" spans="1:6" ht="15" customHeight="1" x14ac:dyDescent="0.25">
      <c r="A11" s="121"/>
      <c r="B11" s="121"/>
      <c r="C11" s="121"/>
      <c r="D11" s="121"/>
      <c r="E11" s="121"/>
    </row>
    <row r="12" spans="1:6" ht="14.7" customHeight="1" x14ac:dyDescent="0.25">
      <c r="A12" s="74" t="s">
        <v>103</v>
      </c>
      <c r="B12" s="123" t="s">
        <v>108</v>
      </c>
      <c r="C12" s="123"/>
      <c r="D12" s="74" t="s">
        <v>27</v>
      </c>
      <c r="E12" s="74">
        <f>$B$5</f>
        <v>45657</v>
      </c>
    </row>
    <row r="13" spans="1:6" ht="14.7" customHeight="1" x14ac:dyDescent="0.25">
      <c r="A13" s="44" t="s">
        <v>158</v>
      </c>
      <c r="B13" s="120" t="s">
        <v>261</v>
      </c>
      <c r="C13" s="120"/>
      <c r="D13" s="90"/>
      <c r="E13" s="22">
        <v>0</v>
      </c>
    </row>
    <row r="14" spans="1:6" ht="14.7" customHeight="1" x14ac:dyDescent="0.25">
      <c r="A14" s="44" t="s">
        <v>159</v>
      </c>
      <c r="B14" s="120" t="s">
        <v>262</v>
      </c>
      <c r="C14" s="120"/>
      <c r="D14" s="90"/>
      <c r="E14" s="22">
        <v>0</v>
      </c>
    </row>
    <row r="15" spans="1:6" ht="14.7" customHeight="1" x14ac:dyDescent="0.25">
      <c r="A15" s="44" t="s">
        <v>170</v>
      </c>
      <c r="B15" s="120" t="s">
        <v>263</v>
      </c>
      <c r="C15" s="120"/>
      <c r="D15" s="90"/>
      <c r="E15" s="22">
        <v>0</v>
      </c>
    </row>
    <row r="16" spans="1:6" ht="14.7" customHeight="1" x14ac:dyDescent="0.25">
      <c r="A16" s="44" t="s">
        <v>162</v>
      </c>
      <c r="B16" s="120" t="s">
        <v>264</v>
      </c>
      <c r="C16" s="120"/>
      <c r="D16" s="90"/>
      <c r="E16" s="22">
        <v>0</v>
      </c>
      <c r="F16" s="4"/>
    </row>
    <row r="17" spans="1:6" ht="14.7" customHeight="1" x14ac:dyDescent="0.25">
      <c r="A17" s="44" t="s">
        <v>161</v>
      </c>
      <c r="B17" s="120" t="s">
        <v>265</v>
      </c>
      <c r="C17" s="120"/>
      <c r="D17" s="90"/>
      <c r="E17" s="22">
        <v>0</v>
      </c>
      <c r="F17" s="4"/>
    </row>
    <row r="18" spans="1:6" ht="14.7" customHeight="1" x14ac:dyDescent="0.25">
      <c r="A18" s="44" t="s">
        <v>171</v>
      </c>
      <c r="B18" s="120" t="s">
        <v>266</v>
      </c>
      <c r="C18" s="120"/>
      <c r="D18" s="90"/>
      <c r="E18" s="22">
        <v>0</v>
      </c>
      <c r="F18" s="4"/>
    </row>
    <row r="19" spans="1:6" ht="14.7" customHeight="1" x14ac:dyDescent="0.25">
      <c r="A19" s="44" t="s">
        <v>160</v>
      </c>
      <c r="B19" s="120" t="s">
        <v>227</v>
      </c>
      <c r="C19" s="120"/>
      <c r="D19" s="90"/>
      <c r="E19" s="22">
        <v>0</v>
      </c>
      <c r="F19" s="4"/>
    </row>
    <row r="20" spans="1:6" ht="14.7" customHeight="1" x14ac:dyDescent="0.25">
      <c r="A20" s="44" t="s">
        <v>172</v>
      </c>
      <c r="B20" s="120" t="s">
        <v>228</v>
      </c>
      <c r="C20" s="120"/>
      <c r="D20" s="90"/>
      <c r="E20" s="22">
        <v>0</v>
      </c>
      <c r="F20" s="4"/>
    </row>
    <row r="21" spans="1:6" ht="14.7" customHeight="1" x14ac:dyDescent="0.3">
      <c r="A21" s="44" t="s">
        <v>173</v>
      </c>
      <c r="B21" s="122" t="s">
        <v>229</v>
      </c>
      <c r="C21" s="122"/>
      <c r="D21" s="90"/>
      <c r="E21" s="22">
        <v>0</v>
      </c>
      <c r="F21" s="4"/>
    </row>
    <row r="22" spans="1:6" ht="14.7" customHeight="1" x14ac:dyDescent="0.3">
      <c r="A22" s="44" t="s">
        <v>174</v>
      </c>
      <c r="B22" s="122" t="s">
        <v>230</v>
      </c>
      <c r="C22" s="122"/>
      <c r="D22" s="90"/>
      <c r="E22" s="22">
        <v>0</v>
      </c>
      <c r="F22" s="4"/>
    </row>
    <row r="23" spans="1:6" ht="14.7" customHeight="1" x14ac:dyDescent="0.3">
      <c r="A23" s="44" t="s">
        <v>175</v>
      </c>
      <c r="B23" s="122" t="s">
        <v>231</v>
      </c>
      <c r="C23" s="122"/>
      <c r="D23" s="90"/>
      <c r="E23" s="22">
        <v>0</v>
      </c>
      <c r="F23" s="4"/>
    </row>
    <row r="24" spans="1:6" ht="14.7" customHeight="1" x14ac:dyDescent="0.3">
      <c r="A24" s="44" t="s">
        <v>176</v>
      </c>
      <c r="B24" s="122" t="s">
        <v>232</v>
      </c>
      <c r="C24" s="122"/>
      <c r="D24" s="90"/>
      <c r="E24" s="22">
        <v>0</v>
      </c>
      <c r="F24" s="4"/>
    </row>
    <row r="25" spans="1:6" ht="15" customHeight="1" x14ac:dyDescent="0.25">
      <c r="A25" s="44"/>
      <c r="B25" s="110" t="s">
        <v>108</v>
      </c>
      <c r="C25" s="110"/>
      <c r="D25" s="110"/>
      <c r="E25" s="62">
        <f>E10+SUM(E13:E24)</f>
        <v>0</v>
      </c>
    </row>
    <row r="26" spans="1:6" ht="15" customHeight="1" x14ac:dyDescent="0.25">
      <c r="A26" s="44"/>
      <c r="B26" s="26"/>
      <c r="C26" s="26"/>
      <c r="D26" s="26"/>
      <c r="E26" s="29"/>
    </row>
    <row r="27" spans="1:6" ht="14.7" customHeight="1" x14ac:dyDescent="0.25">
      <c r="A27" s="74" t="s">
        <v>103</v>
      </c>
      <c r="B27" s="123" t="s">
        <v>109</v>
      </c>
      <c r="C27" s="123"/>
      <c r="D27" s="74" t="s">
        <v>27</v>
      </c>
      <c r="E27" s="74">
        <f>$B$5</f>
        <v>45657</v>
      </c>
    </row>
    <row r="28" spans="1:6" ht="14.7" customHeight="1" x14ac:dyDescent="0.3">
      <c r="A28" s="44" t="s">
        <v>177</v>
      </c>
      <c r="B28" s="122" t="s">
        <v>236</v>
      </c>
      <c r="C28" s="122"/>
      <c r="D28" s="90"/>
      <c r="E28" s="22">
        <v>0</v>
      </c>
    </row>
    <row r="29" spans="1:6" ht="14.7" customHeight="1" x14ac:dyDescent="0.3">
      <c r="A29" s="44" t="s">
        <v>178</v>
      </c>
      <c r="B29" s="122" t="s">
        <v>237</v>
      </c>
      <c r="C29" s="122"/>
      <c r="D29" s="90"/>
      <c r="E29" s="22">
        <v>0</v>
      </c>
    </row>
    <row r="30" spans="1:6" ht="14.7" customHeight="1" x14ac:dyDescent="0.3">
      <c r="A30" s="44" t="s">
        <v>179</v>
      </c>
      <c r="B30" s="122" t="s">
        <v>267</v>
      </c>
      <c r="C30" s="122"/>
      <c r="D30" s="90"/>
      <c r="E30" s="22">
        <v>0</v>
      </c>
    </row>
    <row r="31" spans="1:6" ht="14.7" customHeight="1" x14ac:dyDescent="0.3">
      <c r="A31" s="44" t="s">
        <v>180</v>
      </c>
      <c r="B31" s="122" t="s">
        <v>268</v>
      </c>
      <c r="C31" s="122"/>
      <c r="D31" s="90"/>
      <c r="E31" s="22">
        <v>0</v>
      </c>
    </row>
    <row r="32" spans="1:6" ht="15" customHeight="1" x14ac:dyDescent="0.25">
      <c r="A32" s="44"/>
      <c r="B32" s="110" t="s">
        <v>110</v>
      </c>
      <c r="C32" s="110"/>
      <c r="D32" s="110"/>
      <c r="E32" s="62">
        <f>SUM(E28:E31)</f>
        <v>0</v>
      </c>
    </row>
    <row r="33" spans="1:6" ht="15" customHeight="1" x14ac:dyDescent="0.25">
      <c r="A33" s="44"/>
      <c r="B33" s="26"/>
      <c r="C33" s="26"/>
      <c r="D33" s="26"/>
      <c r="E33" s="68"/>
    </row>
    <row r="34" spans="1:6" ht="14.7" customHeight="1" x14ac:dyDescent="0.25">
      <c r="A34" s="74" t="s">
        <v>103</v>
      </c>
      <c r="B34" s="123" t="s">
        <v>111</v>
      </c>
      <c r="C34" s="123"/>
      <c r="D34" s="74" t="s">
        <v>27</v>
      </c>
      <c r="E34" s="74">
        <f>$B$5</f>
        <v>45657</v>
      </c>
      <c r="F34" s="4"/>
    </row>
    <row r="35" spans="1:6" ht="14.7" customHeight="1" x14ac:dyDescent="0.3">
      <c r="A35" s="44" t="s">
        <v>181</v>
      </c>
      <c r="B35" s="122" t="s">
        <v>233</v>
      </c>
      <c r="C35" s="122"/>
      <c r="D35" s="90"/>
      <c r="E35" s="22">
        <v>0</v>
      </c>
    </row>
    <row r="36" spans="1:6" ht="14.7" customHeight="1" x14ac:dyDescent="0.3">
      <c r="A36" s="44" t="s">
        <v>182</v>
      </c>
      <c r="B36" s="122" t="s">
        <v>234</v>
      </c>
      <c r="C36" s="122"/>
      <c r="D36" s="90"/>
      <c r="E36" s="22">
        <v>0</v>
      </c>
    </row>
    <row r="37" spans="1:6" ht="14.7" customHeight="1" x14ac:dyDescent="0.3">
      <c r="A37" s="44" t="s">
        <v>183</v>
      </c>
      <c r="B37" s="122" t="s">
        <v>235</v>
      </c>
      <c r="C37" s="122"/>
      <c r="D37" s="90"/>
      <c r="E37" s="22">
        <v>0</v>
      </c>
    </row>
    <row r="38" spans="1:6" ht="15" customHeight="1" x14ac:dyDescent="0.25">
      <c r="A38" s="44"/>
      <c r="B38" s="110" t="s">
        <v>112</v>
      </c>
      <c r="C38" s="110"/>
      <c r="D38" s="110"/>
      <c r="E38" s="62">
        <f>SUM(E35:E37)</f>
        <v>0</v>
      </c>
    </row>
    <row r="39" spans="1:6" ht="15" customHeight="1" x14ac:dyDescent="0.25">
      <c r="A39" s="44"/>
      <c r="B39" s="26"/>
      <c r="C39" s="26"/>
      <c r="D39" s="26"/>
      <c r="E39" s="68"/>
    </row>
    <row r="40" spans="1:6" ht="15" customHeight="1" x14ac:dyDescent="0.25">
      <c r="A40" s="44"/>
      <c r="B40" s="110" t="s">
        <v>113</v>
      </c>
      <c r="C40" s="110"/>
      <c r="D40" s="110"/>
      <c r="E40" s="62">
        <f>SUM(E25,E32,E38)</f>
        <v>0</v>
      </c>
    </row>
    <row r="41" spans="1:6" ht="15" customHeight="1" x14ac:dyDescent="0.25">
      <c r="A41" s="44"/>
      <c r="B41" s="54"/>
      <c r="C41" s="54"/>
      <c r="D41" s="54"/>
      <c r="E41" s="62"/>
    </row>
    <row r="42" spans="1:6" ht="15" customHeight="1" x14ac:dyDescent="0.25">
      <c r="A42" s="44" t="s">
        <v>188</v>
      </c>
      <c r="B42" s="121" t="s">
        <v>184</v>
      </c>
      <c r="C42" s="121"/>
      <c r="D42" s="26"/>
      <c r="E42" s="22">
        <f>E46</f>
        <v>0</v>
      </c>
    </row>
    <row r="43" spans="1:6" ht="15" customHeight="1" x14ac:dyDescent="0.25">
      <c r="A43" s="44" t="s">
        <v>187</v>
      </c>
      <c r="B43" s="121" t="s">
        <v>269</v>
      </c>
      <c r="C43" s="121"/>
      <c r="D43" s="26"/>
      <c r="E43" s="22">
        <f>E40</f>
        <v>0</v>
      </c>
    </row>
    <row r="44" spans="1:6" ht="15" customHeight="1" x14ac:dyDescent="0.25">
      <c r="A44" s="44" t="s">
        <v>186</v>
      </c>
      <c r="B44" s="121" t="s">
        <v>185</v>
      </c>
      <c r="C44" s="121"/>
      <c r="D44" s="26"/>
      <c r="E44" s="22">
        <v>0</v>
      </c>
    </row>
    <row r="45" spans="1:6" ht="15" customHeight="1" x14ac:dyDescent="0.25">
      <c r="A45" s="44"/>
      <c r="B45" s="110" t="s">
        <v>270</v>
      </c>
      <c r="C45" s="110"/>
      <c r="D45" s="93">
        <v>49</v>
      </c>
      <c r="E45" s="69">
        <f>SUM(E42:E44)</f>
        <v>0</v>
      </c>
    </row>
    <row r="46" spans="1:6" ht="15" customHeight="1" x14ac:dyDescent="0.25">
      <c r="A46" s="44"/>
      <c r="B46" s="110" t="s">
        <v>114</v>
      </c>
      <c r="C46" s="110"/>
      <c r="D46" s="110"/>
      <c r="E46" s="69">
        <f>SUM('Statement of Financial Position'!D18:D19)</f>
        <v>0</v>
      </c>
    </row>
    <row r="47" spans="1:6" ht="15" customHeight="1" x14ac:dyDescent="0.25">
      <c r="A47" s="44"/>
      <c r="B47" s="110" t="s">
        <v>115</v>
      </c>
      <c r="C47" s="110"/>
      <c r="D47" s="110"/>
      <c r="E47" s="69">
        <f>SUM('Statement of Financial Position'!E18:E19)</f>
        <v>0</v>
      </c>
    </row>
    <row r="48" spans="1:6" ht="14.4" x14ac:dyDescent="0.25">
      <c r="A48" s="44"/>
      <c r="B48" s="110" t="s">
        <v>271</v>
      </c>
      <c r="C48" s="110"/>
      <c r="D48" s="110"/>
      <c r="E48" s="69">
        <f>E45-E47</f>
        <v>0</v>
      </c>
    </row>
    <row r="49" spans="1:5" ht="14.4" x14ac:dyDescent="0.25">
      <c r="A49" s="31"/>
      <c r="B49" s="31"/>
      <c r="C49" s="31"/>
      <c r="D49" s="31"/>
      <c r="E49" s="31"/>
    </row>
    <row r="50" spans="1:5" ht="14.4" x14ac:dyDescent="0.25">
      <c r="A50" s="31"/>
      <c r="B50" s="31"/>
      <c r="C50" s="31"/>
      <c r="D50" s="31"/>
      <c r="E50" s="31"/>
    </row>
    <row r="51" spans="1:5" ht="14.4" x14ac:dyDescent="0.25">
      <c r="A51" s="31"/>
      <c r="B51" s="57" t="s">
        <v>116</v>
      </c>
      <c r="C51" s="31"/>
      <c r="D51" s="31"/>
      <c r="E51" s="31"/>
    </row>
    <row r="52" spans="1:5" ht="14.4" x14ac:dyDescent="0.25">
      <c r="A52" s="31"/>
      <c r="B52" s="121" t="s">
        <v>117</v>
      </c>
      <c r="C52" s="121"/>
      <c r="D52" s="90">
        <v>50</v>
      </c>
      <c r="E52" s="31"/>
    </row>
    <row r="53" spans="1:5" ht="14.4" x14ac:dyDescent="0.25">
      <c r="A53" s="31"/>
      <c r="B53" s="121" t="s">
        <v>118</v>
      </c>
      <c r="C53" s="121"/>
      <c r="D53" s="90">
        <v>51</v>
      </c>
      <c r="E53" s="31"/>
    </row>
    <row r="54" spans="1:5" ht="14.4" x14ac:dyDescent="0.25">
      <c r="A54" s="31"/>
      <c r="B54" s="121" t="s">
        <v>241</v>
      </c>
      <c r="C54" s="121"/>
      <c r="D54" s="90">
        <v>52</v>
      </c>
      <c r="E54" s="31"/>
    </row>
    <row r="55" spans="1:5" ht="14.4" x14ac:dyDescent="0.25">
      <c r="A55" s="31"/>
      <c r="B55" s="121" t="s">
        <v>242</v>
      </c>
      <c r="C55" s="121"/>
      <c r="D55" s="90">
        <v>53</v>
      </c>
      <c r="E55" s="31"/>
    </row>
    <row r="56" spans="1:5" ht="31.2" customHeight="1" x14ac:dyDescent="0.25">
      <c r="A56" s="31"/>
      <c r="B56" s="121" t="s">
        <v>119</v>
      </c>
      <c r="C56" s="121"/>
      <c r="D56" s="90">
        <v>54</v>
      </c>
      <c r="E56" s="31"/>
    </row>
    <row r="57" spans="1:5" x14ac:dyDescent="0.25">
      <c r="A57" s="25"/>
      <c r="B57" s="25"/>
      <c r="C57" s="25"/>
      <c r="D57" s="25"/>
      <c r="E57" s="25"/>
    </row>
    <row r="58" spans="1:5" x14ac:dyDescent="0.25">
      <c r="A58" s="25"/>
      <c r="B58" s="25"/>
      <c r="C58" s="25"/>
      <c r="D58" s="25"/>
      <c r="E58" s="25"/>
    </row>
  </sheetData>
  <mergeCells count="47">
    <mergeCell ref="B52:C52"/>
    <mergeCell ref="B53:C53"/>
    <mergeCell ref="B54:C54"/>
    <mergeCell ref="B55:C55"/>
    <mergeCell ref="B56:C56"/>
    <mergeCell ref="A1:E1"/>
    <mergeCell ref="B16:C16"/>
    <mergeCell ref="B17:C17"/>
    <mergeCell ref="B13:C13"/>
    <mergeCell ref="B18:C18"/>
    <mergeCell ref="B2:E2"/>
    <mergeCell ref="B3:E3"/>
    <mergeCell ref="B4:E4"/>
    <mergeCell ref="B5:E5"/>
    <mergeCell ref="B12:C12"/>
    <mergeCell ref="B9:C9"/>
    <mergeCell ref="A6:E8"/>
    <mergeCell ref="B10:D10"/>
    <mergeCell ref="A11:E11"/>
    <mergeCell ref="B48:D48"/>
    <mergeCell ref="B25:D25"/>
    <mergeCell ref="B32:D32"/>
    <mergeCell ref="B47:D47"/>
    <mergeCell ref="B46:D46"/>
    <mergeCell ref="B40:D40"/>
    <mergeCell ref="B35:C35"/>
    <mergeCell ref="B45:C45"/>
    <mergeCell ref="B38:D38"/>
    <mergeCell ref="B30:C30"/>
    <mergeCell ref="B29:C29"/>
    <mergeCell ref="B34:C34"/>
    <mergeCell ref="B28:C28"/>
    <mergeCell ref="B31:C31"/>
    <mergeCell ref="B36:C36"/>
    <mergeCell ref="B37:C37"/>
    <mergeCell ref="B42:C42"/>
    <mergeCell ref="B43:C43"/>
    <mergeCell ref="B44:C44"/>
    <mergeCell ref="B14:C14"/>
    <mergeCell ref="B22:C22"/>
    <mergeCell ref="B27:C27"/>
    <mergeCell ref="B15:C15"/>
    <mergeCell ref="B19:C19"/>
    <mergeCell ref="B20:C20"/>
    <mergeCell ref="B21:C21"/>
    <mergeCell ref="B23:C23"/>
    <mergeCell ref="B24:C24"/>
  </mergeCells>
  <pageMargins left="0.7" right="0.7" top="0.75" bottom="0.75" header="0.3" footer="0.3"/>
  <pageSetup paperSize="9" scale="55" orientation="portrait" r:id="rId1"/>
  <headerFooter>
    <oddFooter>&amp;C© www.banana.ch</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5F62-C7A3-4FC9-90ED-50D6E747F755}">
  <sheetPr>
    <pageSetUpPr fitToPage="1"/>
  </sheetPr>
  <dimension ref="A1:E83"/>
  <sheetViews>
    <sheetView zoomScale="90" zoomScaleNormal="90" zoomScalePageLayoutView="40" workbookViewId="0">
      <selection sqref="A1:D1"/>
    </sheetView>
  </sheetViews>
  <sheetFormatPr defaultColWidth="8.6640625" defaultRowHeight="13.8" x14ac:dyDescent="0.25"/>
  <cols>
    <col min="1" max="1" width="25" style="2" customWidth="1"/>
    <col min="2" max="2" width="46.109375" style="2" customWidth="1"/>
    <col min="3" max="3" width="10.44140625" style="2" customWidth="1"/>
    <col min="4" max="4" width="51.6640625" style="2" customWidth="1"/>
    <col min="5" max="16384" width="8.6640625" style="2"/>
  </cols>
  <sheetData>
    <row r="1" spans="1:5" ht="21" customHeight="1" x14ac:dyDescent="0.4">
      <c r="A1" s="127" t="s">
        <v>24</v>
      </c>
      <c r="B1" s="127"/>
      <c r="C1" s="127"/>
      <c r="D1" s="127"/>
      <c r="E1" s="6"/>
    </row>
    <row r="2" spans="1:5" ht="54" customHeight="1" x14ac:dyDescent="0.25">
      <c r="A2" s="8" t="s">
        <v>0</v>
      </c>
      <c r="B2" s="111" t="str">
        <f>'General information'!B2</f>
        <v>No-ProfitName LegalForm</v>
      </c>
      <c r="C2" s="111"/>
      <c r="D2" s="111"/>
    </row>
    <row r="3" spans="1:5" ht="18" x14ac:dyDescent="0.25">
      <c r="A3" s="9" t="s">
        <v>2</v>
      </c>
      <c r="B3" s="111" t="str">
        <f>'General information'!B3</f>
        <v>Address 1234, Country</v>
      </c>
      <c r="C3" s="111"/>
      <c r="D3" s="111"/>
    </row>
    <row r="4" spans="1:5" ht="18" x14ac:dyDescent="0.25">
      <c r="A4" s="8" t="s">
        <v>12</v>
      </c>
      <c r="B4" s="113">
        <f>'General information'!B8</f>
        <v>45292</v>
      </c>
      <c r="C4" s="113"/>
      <c r="D4" s="113"/>
    </row>
    <row r="5" spans="1:5" ht="18" x14ac:dyDescent="0.25">
      <c r="A5" s="8" t="s">
        <v>13</v>
      </c>
      <c r="B5" s="113">
        <f>'General information'!B9</f>
        <v>45657</v>
      </c>
      <c r="C5" s="113"/>
      <c r="D5" s="113"/>
    </row>
    <row r="6" spans="1:5" ht="14.4" customHeight="1" x14ac:dyDescent="0.25">
      <c r="A6" s="107" t="s">
        <v>23</v>
      </c>
      <c r="B6" s="107"/>
      <c r="C6" s="107"/>
      <c r="D6" s="107"/>
    </row>
    <row r="7" spans="1:5" ht="18" customHeight="1" x14ac:dyDescent="0.25">
      <c r="A7" s="107"/>
      <c r="B7" s="107"/>
      <c r="C7" s="107"/>
      <c r="D7" s="107"/>
    </row>
    <row r="8" spans="1:5" ht="18.75" customHeight="1" x14ac:dyDescent="0.25">
      <c r="A8" s="107"/>
      <c r="B8" s="107"/>
      <c r="C8" s="107"/>
      <c r="D8" s="107"/>
    </row>
    <row r="9" spans="1:5" ht="15" customHeight="1" x14ac:dyDescent="0.25">
      <c r="A9" s="128" t="s">
        <v>120</v>
      </c>
      <c r="B9" s="128"/>
      <c r="C9" s="128"/>
      <c r="D9" s="128"/>
    </row>
    <row r="10" spans="1:5" ht="15" customHeight="1" x14ac:dyDescent="0.25">
      <c r="A10" s="125"/>
      <c r="B10" s="125"/>
      <c r="C10" s="125"/>
      <c r="D10" s="125"/>
    </row>
    <row r="11" spans="1:5" ht="15" customHeight="1" x14ac:dyDescent="0.25">
      <c r="A11" s="125"/>
      <c r="B11" s="125"/>
      <c r="C11" s="125"/>
      <c r="D11" s="125"/>
    </row>
    <row r="12" spans="1:5" ht="15" customHeight="1" x14ac:dyDescent="0.25">
      <c r="A12" s="125"/>
      <c r="B12" s="125"/>
      <c r="C12" s="125"/>
      <c r="D12" s="125"/>
    </row>
    <row r="13" spans="1:5" ht="15" customHeight="1" x14ac:dyDescent="0.3">
      <c r="A13" s="126"/>
      <c r="B13" s="126"/>
      <c r="C13" s="126"/>
      <c r="D13" s="126"/>
    </row>
    <row r="14" spans="1:5" ht="15" customHeight="1" x14ac:dyDescent="0.3">
      <c r="A14" s="126"/>
      <c r="B14" s="126"/>
      <c r="C14" s="126"/>
      <c r="D14" s="126"/>
    </row>
    <row r="15" spans="1:5" ht="15" customHeight="1" x14ac:dyDescent="0.3">
      <c r="A15" s="126"/>
      <c r="B15" s="126"/>
      <c r="C15" s="126"/>
      <c r="D15" s="126"/>
    </row>
    <row r="16" spans="1:5" ht="15" customHeight="1" x14ac:dyDescent="0.3">
      <c r="A16" s="126"/>
      <c r="B16" s="126"/>
      <c r="C16" s="126"/>
      <c r="D16" s="126"/>
    </row>
    <row r="17" spans="1:4" ht="15" customHeight="1" x14ac:dyDescent="0.3">
      <c r="A17" s="126"/>
      <c r="B17" s="126"/>
      <c r="C17" s="126"/>
      <c r="D17" s="126"/>
    </row>
    <row r="18" spans="1:4" ht="15" customHeight="1" x14ac:dyDescent="0.25">
      <c r="A18" s="125"/>
      <c r="B18" s="125"/>
      <c r="C18" s="125"/>
      <c r="D18" s="125"/>
    </row>
    <row r="19" spans="1:4" ht="15" customHeight="1" x14ac:dyDescent="0.25">
      <c r="A19" s="125"/>
      <c r="B19" s="125"/>
      <c r="C19" s="125"/>
      <c r="D19" s="125"/>
    </row>
    <row r="20" spans="1:4" ht="15" customHeight="1" x14ac:dyDescent="0.25">
      <c r="A20" s="125"/>
      <c r="B20" s="125"/>
      <c r="C20" s="125"/>
      <c r="D20" s="125"/>
    </row>
    <row r="21" spans="1:4" ht="15" customHeight="1" x14ac:dyDescent="0.25">
      <c r="A21" s="125"/>
      <c r="B21" s="125"/>
      <c r="C21" s="125"/>
      <c r="D21" s="125"/>
    </row>
    <row r="22" spans="1:4" ht="15" customHeight="1" x14ac:dyDescent="0.25">
      <c r="A22" s="125"/>
      <c r="B22" s="125"/>
      <c r="C22" s="125"/>
      <c r="D22" s="125"/>
    </row>
    <row r="23" spans="1:4" ht="15" customHeight="1" x14ac:dyDescent="0.25">
      <c r="A23" s="125"/>
      <c r="B23" s="125"/>
      <c r="C23" s="125"/>
      <c r="D23" s="125"/>
    </row>
    <row r="24" spans="1:4" ht="15" customHeight="1" x14ac:dyDescent="0.25">
      <c r="A24" s="125"/>
      <c r="B24" s="125"/>
      <c r="C24" s="125"/>
      <c r="D24" s="125"/>
    </row>
    <row r="25" spans="1:4" ht="15" customHeight="1" x14ac:dyDescent="0.25">
      <c r="A25" s="125"/>
      <c r="B25" s="125"/>
      <c r="C25" s="125"/>
      <c r="D25" s="125"/>
    </row>
    <row r="26" spans="1:4" ht="15" customHeight="1" x14ac:dyDescent="0.25">
      <c r="A26" s="125"/>
      <c r="B26" s="125"/>
      <c r="C26" s="125"/>
      <c r="D26" s="125"/>
    </row>
    <row r="27" spans="1:4" ht="15" customHeight="1" x14ac:dyDescent="0.25">
      <c r="A27" s="125"/>
      <c r="B27" s="125"/>
      <c r="C27" s="125"/>
      <c r="D27" s="125"/>
    </row>
    <row r="28" spans="1:4" ht="15" customHeight="1" x14ac:dyDescent="0.25">
      <c r="A28" s="125"/>
      <c r="B28" s="125"/>
      <c r="C28" s="125"/>
      <c r="D28" s="125"/>
    </row>
    <row r="29" spans="1:4" ht="15" customHeight="1" x14ac:dyDescent="0.25">
      <c r="A29" s="124"/>
      <c r="B29" s="124"/>
      <c r="C29" s="124"/>
      <c r="D29" s="124"/>
    </row>
    <row r="30" spans="1:4" ht="14.4" x14ac:dyDescent="0.25">
      <c r="A30" s="74" t="s">
        <v>121</v>
      </c>
      <c r="B30" s="11" t="s">
        <v>122</v>
      </c>
      <c r="C30" s="21" t="s">
        <v>123</v>
      </c>
      <c r="D30" s="21" t="s">
        <v>27</v>
      </c>
    </row>
    <row r="31" spans="1:4" ht="14.4" x14ac:dyDescent="0.25">
      <c r="A31" s="40">
        <v>1</v>
      </c>
      <c r="B31" s="30" t="s">
        <v>30</v>
      </c>
      <c r="C31" s="22">
        <f>'Statement of Financial Position'!E11</f>
        <v>0</v>
      </c>
      <c r="D31" s="89"/>
    </row>
    <row r="32" spans="1:4" ht="14.4" x14ac:dyDescent="0.25">
      <c r="A32" s="40">
        <v>2</v>
      </c>
      <c r="B32" s="45" t="s">
        <v>32</v>
      </c>
      <c r="C32" s="70"/>
      <c r="D32" s="89"/>
    </row>
    <row r="33" spans="1:4" ht="15" customHeight="1" x14ac:dyDescent="0.25">
      <c r="A33" s="33" t="s">
        <v>169</v>
      </c>
      <c r="B33" s="38" t="s">
        <v>124</v>
      </c>
      <c r="C33" s="22">
        <v>0</v>
      </c>
      <c r="D33" s="24"/>
    </row>
    <row r="34" spans="1:4" ht="15" customHeight="1" x14ac:dyDescent="0.25">
      <c r="A34" s="33">
        <v>2.2000000000000002</v>
      </c>
      <c r="B34" s="38" t="s">
        <v>125</v>
      </c>
      <c r="C34" s="22">
        <v>0</v>
      </c>
      <c r="D34" s="24"/>
    </row>
    <row r="35" spans="1:4" ht="15" customHeight="1" x14ac:dyDescent="0.25">
      <c r="A35" s="33">
        <v>2.2999999999999998</v>
      </c>
      <c r="B35" s="44" t="s">
        <v>126</v>
      </c>
      <c r="C35" s="23">
        <v>0</v>
      </c>
      <c r="D35" s="24"/>
    </row>
    <row r="36" spans="1:4" ht="15" customHeight="1" x14ac:dyDescent="0.25">
      <c r="A36" s="33">
        <v>2.4</v>
      </c>
      <c r="B36" s="38" t="s">
        <v>127</v>
      </c>
      <c r="C36" s="22">
        <v>0</v>
      </c>
      <c r="D36" s="24"/>
    </row>
    <row r="37" spans="1:4" ht="15" customHeight="1" x14ac:dyDescent="0.25">
      <c r="A37" s="33">
        <v>2.5</v>
      </c>
      <c r="B37" s="38" t="s">
        <v>128</v>
      </c>
      <c r="C37" s="22">
        <v>0</v>
      </c>
      <c r="D37" s="24"/>
    </row>
    <row r="38" spans="1:4" ht="15" customHeight="1" x14ac:dyDescent="0.25">
      <c r="A38" s="33">
        <v>2.6</v>
      </c>
      <c r="B38" s="38" t="s">
        <v>129</v>
      </c>
      <c r="C38" s="22">
        <v>0</v>
      </c>
      <c r="D38" s="24"/>
    </row>
    <row r="39" spans="1:4" ht="15" customHeight="1" x14ac:dyDescent="0.25">
      <c r="A39" s="33">
        <v>2.7</v>
      </c>
      <c r="B39" s="38" t="s">
        <v>130</v>
      </c>
      <c r="C39" s="22">
        <v>0</v>
      </c>
      <c r="D39" s="24"/>
    </row>
    <row r="40" spans="1:4" ht="15" customHeight="1" x14ac:dyDescent="0.25">
      <c r="A40" s="33">
        <v>2.8</v>
      </c>
      <c r="B40" s="38" t="s">
        <v>131</v>
      </c>
      <c r="C40" s="22">
        <v>0</v>
      </c>
      <c r="D40" s="24"/>
    </row>
    <row r="41" spans="1:4" ht="15" customHeight="1" x14ac:dyDescent="0.25">
      <c r="A41" s="33">
        <v>2.9</v>
      </c>
      <c r="B41" s="38" t="s">
        <v>132</v>
      </c>
      <c r="C41" s="22">
        <v>0</v>
      </c>
      <c r="D41" s="24"/>
    </row>
    <row r="42" spans="1:4" ht="15" customHeight="1" x14ac:dyDescent="0.25">
      <c r="A42" s="33" t="s">
        <v>133</v>
      </c>
      <c r="B42" s="38" t="s">
        <v>134</v>
      </c>
      <c r="C42" s="22">
        <v>0</v>
      </c>
      <c r="D42" s="24"/>
    </row>
    <row r="43" spans="1:4" ht="15" customHeight="1" x14ac:dyDescent="0.25">
      <c r="A43" s="33" t="s">
        <v>135</v>
      </c>
      <c r="B43" s="38" t="s">
        <v>136</v>
      </c>
      <c r="C43" s="22">
        <v>0</v>
      </c>
      <c r="D43" s="24"/>
    </row>
    <row r="44" spans="1:4" ht="15" customHeight="1" x14ac:dyDescent="0.25">
      <c r="A44" s="33" t="s">
        <v>137</v>
      </c>
      <c r="B44" s="38" t="s">
        <v>138</v>
      </c>
      <c r="C44" s="22">
        <v>0</v>
      </c>
      <c r="D44" s="24"/>
    </row>
    <row r="45" spans="1:4" ht="15" customHeight="1" x14ac:dyDescent="0.25">
      <c r="A45" s="33" t="s">
        <v>139</v>
      </c>
      <c r="B45" s="38" t="s">
        <v>140</v>
      </c>
      <c r="C45" s="22">
        <v>0</v>
      </c>
      <c r="D45" s="24"/>
    </row>
    <row r="46" spans="1:4" ht="28.8" customHeight="1" x14ac:dyDescent="0.25">
      <c r="A46" s="33" t="s">
        <v>141</v>
      </c>
      <c r="B46" s="38" t="s">
        <v>142</v>
      </c>
      <c r="C46" s="22">
        <v>0</v>
      </c>
      <c r="D46" s="24"/>
    </row>
    <row r="47" spans="1:4" ht="15" customHeight="1" x14ac:dyDescent="0.25">
      <c r="A47" s="33" t="s">
        <v>143</v>
      </c>
      <c r="B47" s="38" t="s">
        <v>144</v>
      </c>
      <c r="C47" s="22">
        <v>0</v>
      </c>
      <c r="D47" s="24"/>
    </row>
    <row r="48" spans="1:4" ht="15" customHeight="1" x14ac:dyDescent="0.25">
      <c r="A48" s="33"/>
      <c r="B48" s="45" t="s">
        <v>145</v>
      </c>
      <c r="C48" s="62">
        <f>SUM(C33:C47)</f>
        <v>0</v>
      </c>
      <c r="D48" s="24"/>
    </row>
    <row r="49" spans="1:4" ht="15" customHeight="1" x14ac:dyDescent="0.25">
      <c r="A49" s="40">
        <v>3</v>
      </c>
      <c r="B49" s="44" t="s">
        <v>146</v>
      </c>
      <c r="C49" s="23">
        <f>'Statement of Financial Position'!E13</f>
        <v>0</v>
      </c>
      <c r="D49" s="24"/>
    </row>
    <row r="50" spans="1:4" ht="15" customHeight="1" x14ac:dyDescent="0.25">
      <c r="A50" s="40">
        <v>4</v>
      </c>
      <c r="B50" s="44" t="s">
        <v>36</v>
      </c>
      <c r="C50" s="23">
        <f>'Statement of Financial Position'!E14</f>
        <v>0</v>
      </c>
      <c r="D50" s="24"/>
    </row>
    <row r="51" spans="1:4" ht="15" customHeight="1" x14ac:dyDescent="0.25">
      <c r="A51" s="94"/>
      <c r="B51" s="45" t="s">
        <v>37</v>
      </c>
      <c r="C51" s="62">
        <f>SUM(C31,C48:C50)</f>
        <v>0</v>
      </c>
      <c r="D51" s="27"/>
    </row>
    <row r="52" spans="1:4" ht="15" customHeight="1" x14ac:dyDescent="0.25">
      <c r="A52" s="41"/>
      <c r="B52" s="28"/>
      <c r="C52" s="29"/>
      <c r="D52" s="27"/>
    </row>
    <row r="53" spans="1:4" ht="15" customHeight="1" x14ac:dyDescent="0.25">
      <c r="A53" s="74" t="s">
        <v>121</v>
      </c>
      <c r="B53" s="10" t="s">
        <v>147</v>
      </c>
      <c r="C53" s="21" t="s">
        <v>123</v>
      </c>
      <c r="D53" s="21" t="s">
        <v>27</v>
      </c>
    </row>
    <row r="54" spans="1:4" ht="15" customHeight="1" x14ac:dyDescent="0.25">
      <c r="A54" s="40">
        <v>5</v>
      </c>
      <c r="B54" s="44" t="s">
        <v>39</v>
      </c>
      <c r="C54" s="23">
        <f>'Statement of Financial Position'!E18</f>
        <v>0</v>
      </c>
      <c r="D54" s="24"/>
    </row>
    <row r="55" spans="1:4" ht="15" customHeight="1" x14ac:dyDescent="0.25">
      <c r="A55" s="40" t="s">
        <v>164</v>
      </c>
      <c r="B55" s="44" t="s">
        <v>163</v>
      </c>
      <c r="C55" s="23">
        <f>'Statement of Financial Position'!E19</f>
        <v>0</v>
      </c>
      <c r="D55" s="24"/>
    </row>
    <row r="56" spans="1:4" ht="15" customHeight="1" x14ac:dyDescent="0.25">
      <c r="A56" s="40" t="s">
        <v>165</v>
      </c>
      <c r="B56" s="44" t="s">
        <v>40</v>
      </c>
      <c r="C56" s="23">
        <f>'Statement of Financial Position'!E20</f>
        <v>0</v>
      </c>
      <c r="D56" s="89"/>
    </row>
    <row r="57" spans="1:4" ht="15" customHeight="1" x14ac:dyDescent="0.3">
      <c r="A57" s="42" t="s">
        <v>166</v>
      </c>
      <c r="B57" s="44" t="s">
        <v>41</v>
      </c>
      <c r="C57" s="23">
        <f>'Statement of Financial Position'!E21</f>
        <v>0</v>
      </c>
      <c r="D57" s="24"/>
    </row>
    <row r="58" spans="1:4" ht="15" customHeight="1" x14ac:dyDescent="0.3">
      <c r="A58" s="43"/>
      <c r="B58" s="45" t="s">
        <v>42</v>
      </c>
      <c r="C58" s="62">
        <f>SUM(C54:C57)</f>
        <v>0</v>
      </c>
      <c r="D58" s="31"/>
    </row>
    <row r="59" spans="1:4" ht="15" customHeight="1" x14ac:dyDescent="0.3">
      <c r="A59" s="43"/>
      <c r="B59" s="28"/>
      <c r="C59" s="29"/>
      <c r="D59" s="31"/>
    </row>
    <row r="60" spans="1:4" ht="15" customHeight="1" x14ac:dyDescent="0.25">
      <c r="A60" s="74" t="s">
        <v>121</v>
      </c>
      <c r="B60" s="10" t="s">
        <v>148</v>
      </c>
      <c r="C60" s="21" t="s">
        <v>123</v>
      </c>
      <c r="D60" s="21" t="s">
        <v>27</v>
      </c>
    </row>
    <row r="61" spans="1:4" ht="15" customHeight="1" x14ac:dyDescent="0.25">
      <c r="A61" s="40" t="s">
        <v>167</v>
      </c>
      <c r="B61" s="38" t="s">
        <v>193</v>
      </c>
      <c r="C61" s="23">
        <f>'Statement of Financial Position'!E27</f>
        <v>0</v>
      </c>
      <c r="D61" s="24"/>
    </row>
    <row r="62" spans="1:4" ht="15" customHeight="1" x14ac:dyDescent="0.25">
      <c r="A62" s="30">
        <v>10</v>
      </c>
      <c r="B62" s="38" t="s">
        <v>194</v>
      </c>
      <c r="C62" s="23">
        <f>'Statement of Financial Position'!E28</f>
        <v>0</v>
      </c>
      <c r="D62" s="24"/>
    </row>
    <row r="63" spans="1:4" ht="15" customHeight="1" x14ac:dyDescent="0.25">
      <c r="A63" s="30">
        <v>11</v>
      </c>
      <c r="B63" s="38" t="s">
        <v>195</v>
      </c>
      <c r="C63" s="23">
        <f>'Statement of Financial Position'!E29</f>
        <v>0</v>
      </c>
      <c r="D63" s="24"/>
    </row>
    <row r="64" spans="1:4" ht="15" customHeight="1" x14ac:dyDescent="0.25">
      <c r="A64" s="30">
        <v>12</v>
      </c>
      <c r="B64" s="38" t="s">
        <v>47</v>
      </c>
      <c r="C64" s="23">
        <f>'Statement of Financial Position'!E30</f>
        <v>0</v>
      </c>
      <c r="D64" s="24"/>
    </row>
    <row r="65" spans="1:4" ht="15" customHeight="1" x14ac:dyDescent="0.25">
      <c r="A65" s="30">
        <v>13</v>
      </c>
      <c r="B65" s="38" t="s">
        <v>48</v>
      </c>
      <c r="C65" s="23">
        <f>'Statement of Financial Position'!E31</f>
        <v>0</v>
      </c>
      <c r="D65" s="24"/>
    </row>
    <row r="66" spans="1:4" ht="15" customHeight="1" x14ac:dyDescent="0.25">
      <c r="A66" s="30">
        <v>14</v>
      </c>
      <c r="B66" s="38" t="s">
        <v>50</v>
      </c>
      <c r="C66" s="23">
        <f>'Statement of Financial Position'!E32</f>
        <v>0</v>
      </c>
      <c r="D66" s="24"/>
    </row>
    <row r="67" spans="1:4" ht="14.4" x14ac:dyDescent="0.25">
      <c r="A67" s="32"/>
      <c r="B67" s="54" t="s">
        <v>149</v>
      </c>
      <c r="C67" s="71">
        <f>SUM(C61:C66)</f>
        <v>0</v>
      </c>
      <c r="D67" s="25"/>
    </row>
    <row r="68" spans="1:4" ht="14.4" x14ac:dyDescent="0.25">
      <c r="A68" s="32"/>
      <c r="B68" s="26"/>
      <c r="C68" s="34"/>
      <c r="D68" s="25"/>
    </row>
    <row r="69" spans="1:4" ht="14.4" x14ac:dyDescent="0.25">
      <c r="A69" s="74" t="s">
        <v>121</v>
      </c>
      <c r="B69" s="11" t="s">
        <v>52</v>
      </c>
      <c r="C69" s="21" t="s">
        <v>123</v>
      </c>
      <c r="D69" s="21" t="s">
        <v>27</v>
      </c>
    </row>
    <row r="70" spans="1:4" ht="14.4" x14ac:dyDescent="0.25">
      <c r="A70" s="98">
        <v>15</v>
      </c>
      <c r="B70" s="38" t="s">
        <v>53</v>
      </c>
      <c r="C70" s="88">
        <f>'Statement of Financial Position'!E36</f>
        <v>0</v>
      </c>
      <c r="D70" s="92"/>
    </row>
    <row r="71" spans="1:4" ht="14.4" x14ac:dyDescent="0.25">
      <c r="A71" s="98">
        <v>16</v>
      </c>
      <c r="B71" s="38" t="s">
        <v>55</v>
      </c>
      <c r="C71" s="88">
        <f>'Statement of Financial Position'!E37</f>
        <v>0</v>
      </c>
      <c r="D71" s="92"/>
    </row>
    <row r="72" spans="1:4" ht="14.4" x14ac:dyDescent="0.25">
      <c r="A72" s="98">
        <v>17</v>
      </c>
      <c r="B72" s="38" t="s">
        <v>57</v>
      </c>
      <c r="C72" s="14">
        <f>'Statement of Financial Position'!E38</f>
        <v>0</v>
      </c>
      <c r="D72" s="92"/>
    </row>
    <row r="73" spans="1:4" ht="14.4" x14ac:dyDescent="0.25">
      <c r="A73" s="32"/>
      <c r="B73" s="54" t="s">
        <v>58</v>
      </c>
      <c r="C73" s="63">
        <f>SUM($C70:$C72)</f>
        <v>0</v>
      </c>
      <c r="D73" s="25"/>
    </row>
    <row r="74" spans="1:4" ht="14.4" x14ac:dyDescent="0.25">
      <c r="A74" s="32"/>
      <c r="B74" s="26"/>
      <c r="C74" s="28"/>
      <c r="D74" s="25"/>
    </row>
    <row r="75" spans="1:4" ht="14.4" x14ac:dyDescent="0.25">
      <c r="A75" s="74" t="s">
        <v>121</v>
      </c>
      <c r="B75" s="10" t="s">
        <v>59</v>
      </c>
      <c r="C75" s="21" t="s">
        <v>123</v>
      </c>
      <c r="D75" s="21" t="s">
        <v>27</v>
      </c>
    </row>
    <row r="76" spans="1:4" ht="14.4" x14ac:dyDescent="0.25">
      <c r="A76" s="98">
        <v>18</v>
      </c>
      <c r="B76" s="38" t="s">
        <v>61</v>
      </c>
      <c r="C76" s="14">
        <f>'Statement of Financial Position'!E42</f>
        <v>0</v>
      </c>
      <c r="D76" s="92"/>
    </row>
    <row r="77" spans="1:4" ht="14.4" x14ac:dyDescent="0.25">
      <c r="A77" s="98">
        <v>19</v>
      </c>
      <c r="B77" s="38" t="s">
        <v>62</v>
      </c>
      <c r="C77" s="14">
        <f>'Statement of Financial Position'!E43</f>
        <v>0</v>
      </c>
      <c r="D77" s="92"/>
    </row>
    <row r="78" spans="1:4" ht="14.4" x14ac:dyDescent="0.25">
      <c r="A78" s="98">
        <v>20</v>
      </c>
      <c r="B78" s="38" t="s">
        <v>253</v>
      </c>
      <c r="C78" s="14">
        <f>'Statement of Financial Position'!E44</f>
        <v>0</v>
      </c>
      <c r="D78" s="92"/>
    </row>
    <row r="79" spans="1:4" ht="14.4" x14ac:dyDescent="0.25">
      <c r="A79" s="98">
        <v>21</v>
      </c>
      <c r="B79" s="38" t="s">
        <v>64</v>
      </c>
      <c r="C79" s="14">
        <f>'Statement of Financial Position'!E45</f>
        <v>0</v>
      </c>
      <c r="D79" s="92"/>
    </row>
    <row r="80" spans="1:4" ht="14.4" x14ac:dyDescent="0.25">
      <c r="A80" s="98">
        <v>22</v>
      </c>
      <c r="B80" s="38" t="s">
        <v>66</v>
      </c>
      <c r="C80" s="14">
        <f>'Statement of Financial Position'!E46</f>
        <v>0</v>
      </c>
      <c r="D80" s="92"/>
    </row>
    <row r="81" spans="1:4" ht="14.4" x14ac:dyDescent="0.25">
      <c r="A81" s="98">
        <v>23</v>
      </c>
      <c r="B81" s="38" t="s">
        <v>68</v>
      </c>
      <c r="C81" s="14">
        <f>'Statement of Financial Position'!E47</f>
        <v>0</v>
      </c>
      <c r="D81" s="92"/>
    </row>
    <row r="82" spans="1:4" ht="14.4" x14ac:dyDescent="0.25">
      <c r="A82" s="98">
        <v>24</v>
      </c>
      <c r="B82" s="38" t="s">
        <v>70</v>
      </c>
      <c r="C82" s="14">
        <f>'Statement of Financial Position'!E48</f>
        <v>0</v>
      </c>
      <c r="D82" s="92"/>
    </row>
    <row r="83" spans="1:4" ht="14.4" x14ac:dyDescent="0.25">
      <c r="A83" s="32"/>
      <c r="B83" s="45" t="s">
        <v>71</v>
      </c>
      <c r="C83" s="63">
        <f>SUM($C76:$C82)</f>
        <v>0</v>
      </c>
      <c r="D83" s="25"/>
    </row>
  </sheetData>
  <mergeCells count="27">
    <mergeCell ref="A1:D1"/>
    <mergeCell ref="A23:D23"/>
    <mergeCell ref="A24:D24"/>
    <mergeCell ref="A25:D25"/>
    <mergeCell ref="B2:D2"/>
    <mergeCell ref="B3:D3"/>
    <mergeCell ref="B4:D4"/>
    <mergeCell ref="B5:D5"/>
    <mergeCell ref="A20:D20"/>
    <mergeCell ref="A6:D8"/>
    <mergeCell ref="A9:D9"/>
    <mergeCell ref="A10:D10"/>
    <mergeCell ref="A11:D11"/>
    <mergeCell ref="A12:D12"/>
    <mergeCell ref="A13:D13"/>
    <mergeCell ref="A29:D29"/>
    <mergeCell ref="A27:D27"/>
    <mergeCell ref="A28:D28"/>
    <mergeCell ref="A14:D14"/>
    <mergeCell ref="A15:D15"/>
    <mergeCell ref="A16:D16"/>
    <mergeCell ref="A17:D17"/>
    <mergeCell ref="A18:D18"/>
    <mergeCell ref="A21:D21"/>
    <mergeCell ref="A22:D22"/>
    <mergeCell ref="A26:D26"/>
    <mergeCell ref="A19:D19"/>
  </mergeCells>
  <phoneticPr fontId="3" type="noConversion"/>
  <pageMargins left="0.7" right="0.7" top="0.75" bottom="0.75" header="0.3" footer="0.3"/>
  <pageSetup paperSize="9" scale="65" fitToHeight="0" orientation="portrait" r:id="rId1"/>
  <headerFooter>
    <oddFooter>&amp;C© www.banana.ch&amp;R&amp;P</oddFooter>
  </headerFooter>
  <ignoredErrors>
    <ignoredError sqref="A42:A47 A55:A57 A33 A6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0837-B281-4F48-B992-6ECFC0B35948}">
  <sheetPr>
    <pageSetUpPr fitToPage="1"/>
  </sheetPr>
  <dimension ref="A1:E40"/>
  <sheetViews>
    <sheetView zoomScale="90" zoomScaleNormal="90" zoomScalePageLayoutView="40" workbookViewId="0">
      <selection sqref="A1:D1"/>
    </sheetView>
  </sheetViews>
  <sheetFormatPr defaultColWidth="8.6640625" defaultRowHeight="13.8" x14ac:dyDescent="0.25"/>
  <cols>
    <col min="1" max="1" width="25" style="2" customWidth="1"/>
    <col min="2" max="2" width="45.5546875" style="2" customWidth="1"/>
    <col min="3" max="3" width="10.44140625" style="2" customWidth="1"/>
    <col min="4" max="4" width="51.6640625" style="2" customWidth="1"/>
    <col min="5" max="16384" width="8.6640625" style="2"/>
  </cols>
  <sheetData>
    <row r="1" spans="1:5" ht="21" customHeight="1" x14ac:dyDescent="0.4">
      <c r="A1" s="129" t="s">
        <v>24</v>
      </c>
      <c r="B1" s="129"/>
      <c r="C1" s="129"/>
      <c r="D1" s="129"/>
      <c r="E1" s="6"/>
    </row>
    <row r="2" spans="1:5" ht="54" customHeight="1" x14ac:dyDescent="0.25">
      <c r="A2" s="8" t="s">
        <v>0</v>
      </c>
      <c r="B2" s="111" t="str">
        <f>'General information'!B2</f>
        <v>No-ProfitName LegalForm</v>
      </c>
      <c r="C2" s="111"/>
      <c r="D2" s="111"/>
    </row>
    <row r="3" spans="1:5" ht="18" x14ac:dyDescent="0.25">
      <c r="A3" s="9" t="s">
        <v>2</v>
      </c>
      <c r="B3" s="111" t="str">
        <f>'General information'!B3</f>
        <v>Address 1234, Country</v>
      </c>
      <c r="C3" s="111"/>
      <c r="D3" s="111"/>
    </row>
    <row r="4" spans="1:5" ht="18" x14ac:dyDescent="0.25">
      <c r="A4" s="8" t="s">
        <v>12</v>
      </c>
      <c r="B4" s="113">
        <f>'General information'!B8</f>
        <v>45292</v>
      </c>
      <c r="C4" s="113"/>
      <c r="D4" s="113"/>
    </row>
    <row r="5" spans="1:5" ht="18" x14ac:dyDescent="0.25">
      <c r="A5" s="8" t="s">
        <v>13</v>
      </c>
      <c r="B5" s="113">
        <f>'General information'!B9</f>
        <v>45657</v>
      </c>
      <c r="C5" s="113"/>
      <c r="D5" s="113"/>
    </row>
    <row r="6" spans="1:5" ht="14.4" customHeight="1" x14ac:dyDescent="0.25">
      <c r="A6" s="107" t="s">
        <v>244</v>
      </c>
      <c r="B6" s="107"/>
      <c r="C6" s="107"/>
      <c r="D6" s="107"/>
    </row>
    <row r="7" spans="1:5" ht="18.75" customHeight="1" x14ac:dyDescent="0.25">
      <c r="A7" s="107"/>
      <c r="B7" s="107"/>
      <c r="C7" s="107"/>
      <c r="D7" s="107"/>
    </row>
    <row r="8" spans="1:5" ht="15" customHeight="1" x14ac:dyDescent="0.25">
      <c r="A8" s="107"/>
      <c r="B8" s="107"/>
      <c r="C8" s="107"/>
      <c r="D8" s="107"/>
    </row>
    <row r="9" spans="1:5" ht="15" customHeight="1" x14ac:dyDescent="0.25">
      <c r="A9" s="11" t="s">
        <v>121</v>
      </c>
      <c r="B9" s="11" t="s">
        <v>150</v>
      </c>
      <c r="C9" s="85" t="s">
        <v>123</v>
      </c>
      <c r="D9" s="21" t="s">
        <v>27</v>
      </c>
    </row>
    <row r="10" spans="1:5" ht="15" customHeight="1" x14ac:dyDescent="0.3">
      <c r="A10" s="30">
        <v>25</v>
      </c>
      <c r="B10" s="36" t="s">
        <v>189</v>
      </c>
      <c r="C10" s="23">
        <f>'Statement of Income &amp; Expenses'!E10</f>
        <v>0</v>
      </c>
      <c r="D10" s="89"/>
    </row>
    <row r="11" spans="1:5" ht="15" customHeight="1" x14ac:dyDescent="0.3">
      <c r="A11" s="30">
        <v>26</v>
      </c>
      <c r="B11" s="36" t="s">
        <v>192</v>
      </c>
      <c r="C11" s="23">
        <f>'Statement of Income &amp; Expenses'!E11</f>
        <v>0</v>
      </c>
      <c r="D11" s="89"/>
    </row>
    <row r="12" spans="1:5" ht="15" customHeight="1" x14ac:dyDescent="0.3">
      <c r="A12" s="30">
        <v>27</v>
      </c>
      <c r="B12" s="36" t="s">
        <v>207</v>
      </c>
      <c r="C12" s="23">
        <f>'Statement of Income &amp; Expenses'!E12</f>
        <v>0</v>
      </c>
      <c r="D12" s="89"/>
    </row>
    <row r="13" spans="1:5" ht="15" customHeight="1" x14ac:dyDescent="0.3">
      <c r="A13" s="30">
        <v>28</v>
      </c>
      <c r="B13" s="36" t="s">
        <v>208</v>
      </c>
      <c r="C13" s="23">
        <f>'Statement of Income &amp; Expenses'!E13</f>
        <v>0</v>
      </c>
      <c r="D13" s="89"/>
    </row>
    <row r="14" spans="1:5" ht="15" customHeight="1" x14ac:dyDescent="0.3">
      <c r="A14" s="30">
        <v>29</v>
      </c>
      <c r="B14" s="36" t="s">
        <v>200</v>
      </c>
      <c r="C14" s="23">
        <f>'Statement of Income &amp; Expenses'!E14</f>
        <v>0</v>
      </c>
      <c r="D14" s="89"/>
    </row>
    <row r="15" spans="1:5" ht="15" customHeight="1" x14ac:dyDescent="0.3">
      <c r="A15" s="30">
        <v>30</v>
      </c>
      <c r="B15" s="36" t="s">
        <v>201</v>
      </c>
      <c r="C15" s="23">
        <f>'Statement of Income &amp; Expenses'!E15</f>
        <v>0</v>
      </c>
      <c r="D15" s="89"/>
    </row>
    <row r="16" spans="1:5" ht="15" customHeight="1" x14ac:dyDescent="0.25">
      <c r="A16" s="30">
        <v>31</v>
      </c>
      <c r="B16" s="38" t="s">
        <v>76</v>
      </c>
      <c r="C16" s="23">
        <f>'Statement of Income &amp; Expenses'!E16</f>
        <v>0</v>
      </c>
      <c r="D16" s="89"/>
    </row>
    <row r="17" spans="1:4" ht="15" customHeight="1" x14ac:dyDescent="0.25">
      <c r="A17" s="30">
        <v>32</v>
      </c>
      <c r="B17" s="38" t="s">
        <v>78</v>
      </c>
      <c r="C17" s="23">
        <f>'Statement of Income &amp; Expenses'!E17</f>
        <v>0</v>
      </c>
      <c r="D17" s="24"/>
    </row>
    <row r="18" spans="1:4" ht="15" customHeight="1" x14ac:dyDescent="0.25">
      <c r="A18" s="30">
        <v>33</v>
      </c>
      <c r="B18" s="38" t="s">
        <v>80</v>
      </c>
      <c r="C18" s="23">
        <f>'Statement of Income &amp; Expenses'!E18</f>
        <v>0</v>
      </c>
      <c r="D18" s="24"/>
    </row>
    <row r="19" spans="1:4" ht="15" customHeight="1" x14ac:dyDescent="0.25">
      <c r="A19" s="30">
        <v>34</v>
      </c>
      <c r="B19" s="38" t="s">
        <v>82</v>
      </c>
      <c r="C19" s="23">
        <f>'Statement of Income &amp; Expenses'!E19</f>
        <v>0</v>
      </c>
      <c r="D19" s="24"/>
    </row>
    <row r="20" spans="1:4" ht="15" customHeight="1" x14ac:dyDescent="0.25">
      <c r="A20" s="41"/>
      <c r="B20" s="54" t="s">
        <v>151</v>
      </c>
      <c r="C20" s="62">
        <f>SUM(C10:C19)</f>
        <v>0</v>
      </c>
      <c r="D20" s="38"/>
    </row>
    <row r="21" spans="1:4" ht="15" customHeight="1" x14ac:dyDescent="0.25">
      <c r="A21" s="41"/>
      <c r="B21" s="38"/>
      <c r="C21" s="37"/>
      <c r="D21" s="38"/>
    </row>
    <row r="22" spans="1:4" ht="15" customHeight="1" x14ac:dyDescent="0.25">
      <c r="A22" s="11" t="s">
        <v>121</v>
      </c>
      <c r="B22" s="11" t="s">
        <v>85</v>
      </c>
      <c r="C22" s="85" t="s">
        <v>123</v>
      </c>
      <c r="D22" s="21" t="s">
        <v>27</v>
      </c>
    </row>
    <row r="23" spans="1:4" ht="15" customHeight="1" x14ac:dyDescent="0.25">
      <c r="A23" s="30">
        <v>35</v>
      </c>
      <c r="B23" s="38" t="s">
        <v>209</v>
      </c>
      <c r="C23" s="23">
        <f>'Statement of Income &amp; Expenses'!E23</f>
        <v>0</v>
      </c>
      <c r="D23" s="24"/>
    </row>
    <row r="24" spans="1:4" ht="15" customHeight="1" x14ac:dyDescent="0.25">
      <c r="A24" s="30">
        <v>36</v>
      </c>
      <c r="B24" s="38" t="s">
        <v>210</v>
      </c>
      <c r="C24" s="23">
        <f>'Statement of Income &amp; Expenses'!E24</f>
        <v>0</v>
      </c>
      <c r="D24" s="24"/>
    </row>
    <row r="25" spans="1:4" ht="15" customHeight="1" x14ac:dyDescent="0.25">
      <c r="A25" s="30">
        <v>37</v>
      </c>
      <c r="B25" s="38" t="s">
        <v>211</v>
      </c>
      <c r="C25" s="23">
        <f>'Statement of Income &amp; Expenses'!E25</f>
        <v>0</v>
      </c>
      <c r="D25" s="24"/>
    </row>
    <row r="26" spans="1:4" ht="15" customHeight="1" x14ac:dyDescent="0.25">
      <c r="A26" s="30">
        <v>38</v>
      </c>
      <c r="B26" s="38" t="s">
        <v>202</v>
      </c>
      <c r="C26" s="23">
        <f>'Statement of Income &amp; Expenses'!E26</f>
        <v>0</v>
      </c>
      <c r="D26" s="24"/>
    </row>
    <row r="27" spans="1:4" ht="15" customHeight="1" x14ac:dyDescent="0.25">
      <c r="A27" s="30">
        <v>39</v>
      </c>
      <c r="B27" s="38" t="s">
        <v>87</v>
      </c>
      <c r="C27" s="23">
        <f>'Statement of Income &amp; Expenses'!E27</f>
        <v>0</v>
      </c>
      <c r="D27" s="24"/>
    </row>
    <row r="28" spans="1:4" ht="15" customHeight="1" x14ac:dyDescent="0.25">
      <c r="A28" s="30">
        <v>40</v>
      </c>
      <c r="B28" s="38" t="s">
        <v>89</v>
      </c>
      <c r="C28" s="23">
        <f>'Statement of Income &amp; Expenses'!E28</f>
        <v>0</v>
      </c>
      <c r="D28" s="24"/>
    </row>
    <row r="29" spans="1:4" ht="15" customHeight="1" x14ac:dyDescent="0.25">
      <c r="A29" s="30">
        <v>41</v>
      </c>
      <c r="B29" s="38" t="s">
        <v>91</v>
      </c>
      <c r="C29" s="23">
        <f>'Statement of Income &amp; Expenses'!E29</f>
        <v>0</v>
      </c>
      <c r="D29" s="24"/>
    </row>
    <row r="30" spans="1:4" ht="15" customHeight="1" x14ac:dyDescent="0.25">
      <c r="A30" s="30">
        <v>42</v>
      </c>
      <c r="B30" s="38" t="s">
        <v>93</v>
      </c>
      <c r="C30" s="23">
        <f>'Statement of Income &amp; Expenses'!E30</f>
        <v>0</v>
      </c>
      <c r="D30" s="24"/>
    </row>
    <row r="31" spans="1:4" ht="15" customHeight="1" x14ac:dyDescent="0.25">
      <c r="A31" s="39"/>
      <c r="B31" s="72" t="s">
        <v>152</v>
      </c>
      <c r="C31" s="73">
        <f>SUM(C23:C30)</f>
        <v>0</v>
      </c>
      <c r="D31" s="39"/>
    </row>
    <row r="32" spans="1:4" ht="15" customHeight="1" x14ac:dyDescent="0.25">
      <c r="A32" s="30"/>
      <c r="B32" s="38"/>
      <c r="C32" s="100"/>
      <c r="D32" s="100"/>
    </row>
    <row r="33" spans="1:4" ht="15" customHeight="1" x14ac:dyDescent="0.25">
      <c r="A33" s="11" t="s">
        <v>121</v>
      </c>
      <c r="B33" s="11" t="s">
        <v>272</v>
      </c>
      <c r="C33" s="99" t="s">
        <v>123</v>
      </c>
      <c r="D33" s="21" t="s">
        <v>27</v>
      </c>
    </row>
    <row r="34" spans="1:4" ht="15" customHeight="1" x14ac:dyDescent="0.25">
      <c r="A34" s="30">
        <v>43</v>
      </c>
      <c r="B34" s="38" t="s">
        <v>216</v>
      </c>
      <c r="C34" s="23">
        <f>'Statement of Income &amp; Expenses'!E34</f>
        <v>0</v>
      </c>
      <c r="D34" s="24"/>
    </row>
    <row r="35" spans="1:4" ht="15" customHeight="1" x14ac:dyDescent="0.25">
      <c r="A35" s="30">
        <v>44</v>
      </c>
      <c r="B35" s="38" t="s">
        <v>217</v>
      </c>
      <c r="C35" s="23">
        <f>'Statement of Income &amp; Expenses'!E35</f>
        <v>0</v>
      </c>
      <c r="D35" s="24"/>
    </row>
    <row r="36" spans="1:4" ht="25.8" customHeight="1" x14ac:dyDescent="0.25">
      <c r="A36" s="30">
        <v>45</v>
      </c>
      <c r="B36" s="38" t="s">
        <v>218</v>
      </c>
      <c r="C36" s="23">
        <f>'Statement of Income &amp; Expenses'!E36</f>
        <v>0</v>
      </c>
      <c r="D36" s="24"/>
    </row>
    <row r="37" spans="1:4" ht="15" customHeight="1" x14ac:dyDescent="0.25">
      <c r="A37" s="30">
        <v>46</v>
      </c>
      <c r="B37" s="38" t="s">
        <v>219</v>
      </c>
      <c r="C37" s="23">
        <f>'Statement of Income &amp; Expenses'!E37</f>
        <v>0</v>
      </c>
      <c r="D37" s="24"/>
    </row>
    <row r="38" spans="1:4" ht="15" customHeight="1" x14ac:dyDescent="0.25">
      <c r="A38" s="30">
        <v>47</v>
      </c>
      <c r="B38" s="38" t="s">
        <v>220</v>
      </c>
      <c r="C38" s="23">
        <f>'Statement of Income &amp; Expenses'!E38</f>
        <v>0</v>
      </c>
      <c r="D38" s="24"/>
    </row>
    <row r="39" spans="1:4" ht="15" customHeight="1" x14ac:dyDescent="0.25">
      <c r="A39" s="30">
        <v>48</v>
      </c>
      <c r="B39" s="30" t="s">
        <v>221</v>
      </c>
      <c r="C39" s="23">
        <f>'Statement of Income &amp; Expenses'!E39</f>
        <v>0</v>
      </c>
      <c r="D39" s="24"/>
    </row>
    <row r="40" spans="1:4" ht="15" customHeight="1" x14ac:dyDescent="0.25">
      <c r="A40" s="30"/>
      <c r="B40" s="35" t="s">
        <v>215</v>
      </c>
      <c r="C40" s="63">
        <f>SUM(C20,C31,C34:C39)</f>
        <v>0</v>
      </c>
      <c r="D40" s="100"/>
    </row>
  </sheetData>
  <mergeCells count="6">
    <mergeCell ref="A6:D8"/>
    <mergeCell ref="A1:D1"/>
    <mergeCell ref="B2:D2"/>
    <mergeCell ref="B3:D3"/>
    <mergeCell ref="B4:D4"/>
    <mergeCell ref="B5:D5"/>
  </mergeCells>
  <pageMargins left="0.7" right="0.7" top="0.75" bottom="0.75" header="0.3" footer="0.3"/>
  <pageSetup paperSize="9" scale="65" fitToHeight="0" orientation="portrait" r:id="rId1"/>
  <headerFooter>
    <oddFooter>&amp;C© www.banana.ch&amp;R&amp;P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A2ED-056F-4720-99B4-8FAF3132C851}">
  <sheetPr>
    <pageSetUpPr fitToPage="1"/>
  </sheetPr>
  <dimension ref="A1:L43"/>
  <sheetViews>
    <sheetView zoomScale="90" zoomScaleNormal="90" workbookViewId="0">
      <selection sqref="A1:L1"/>
    </sheetView>
  </sheetViews>
  <sheetFormatPr defaultRowHeight="14.4" x14ac:dyDescent="0.3"/>
  <cols>
    <col min="1" max="1" width="21.77734375" customWidth="1"/>
    <col min="2" max="2" width="58.44140625" customWidth="1"/>
    <col min="3" max="3" width="11.88671875" customWidth="1"/>
    <col min="4" max="8" width="8.88671875" style="55"/>
    <col min="9" max="9" width="2" style="55" customWidth="1"/>
    <col min="10" max="10" width="8.88671875" style="55" hidden="1" customWidth="1"/>
    <col min="11" max="11" width="8.77734375" style="55" hidden="1" customWidth="1"/>
    <col min="12" max="12" width="8.6640625" style="55" hidden="1" customWidth="1"/>
  </cols>
  <sheetData>
    <row r="1" spans="1:12" ht="21" x14ac:dyDescent="0.3">
      <c r="A1" s="129" t="s">
        <v>24</v>
      </c>
      <c r="B1" s="129"/>
      <c r="C1" s="129"/>
      <c r="D1" s="129"/>
      <c r="E1" s="129"/>
      <c r="F1" s="129"/>
      <c r="G1" s="129"/>
      <c r="H1" s="129"/>
      <c r="I1" s="129"/>
      <c r="J1" s="129"/>
      <c r="K1" s="129"/>
      <c r="L1" s="129"/>
    </row>
    <row r="2" spans="1:12" ht="36" x14ac:dyDescent="0.3">
      <c r="A2" s="9" t="s">
        <v>0</v>
      </c>
      <c r="B2" s="133" t="str">
        <f>'General information'!B2</f>
        <v>No-ProfitName LegalForm</v>
      </c>
      <c r="C2" s="133"/>
      <c r="D2" s="133"/>
      <c r="E2" s="133"/>
      <c r="F2" s="133"/>
      <c r="G2" s="133"/>
      <c r="H2" s="133"/>
      <c r="I2" s="133"/>
      <c r="J2" s="133"/>
      <c r="K2" s="133"/>
      <c r="L2" s="133"/>
    </row>
    <row r="3" spans="1:12" ht="18" x14ac:dyDescent="0.3">
      <c r="A3" s="9" t="s">
        <v>2</v>
      </c>
      <c r="B3" s="133" t="str">
        <f>'General information'!B3</f>
        <v>Address 1234, Country</v>
      </c>
      <c r="C3" s="133"/>
      <c r="D3" s="133"/>
      <c r="E3" s="133"/>
      <c r="F3" s="133"/>
      <c r="G3" s="133"/>
      <c r="H3" s="133"/>
      <c r="I3" s="133"/>
      <c r="J3" s="133"/>
      <c r="K3" s="133"/>
      <c r="L3" s="133"/>
    </row>
    <row r="4" spans="1:12" ht="18" x14ac:dyDescent="0.3">
      <c r="A4" s="9" t="s">
        <v>12</v>
      </c>
      <c r="B4" s="134">
        <f>'General information'!B8</f>
        <v>45292</v>
      </c>
      <c r="C4" s="134"/>
      <c r="D4" s="134"/>
      <c r="E4" s="134"/>
      <c r="F4" s="134"/>
      <c r="G4" s="134"/>
      <c r="H4" s="134"/>
      <c r="I4" s="134"/>
      <c r="J4" s="134"/>
      <c r="K4" s="134"/>
      <c r="L4" s="134"/>
    </row>
    <row r="5" spans="1:12" ht="18" x14ac:dyDescent="0.3">
      <c r="A5" s="9" t="s">
        <v>13</v>
      </c>
      <c r="B5" s="134">
        <f>'General information'!B9</f>
        <v>45657</v>
      </c>
      <c r="C5" s="134"/>
      <c r="D5" s="134"/>
      <c r="E5" s="134"/>
      <c r="F5" s="134"/>
      <c r="G5" s="134"/>
      <c r="H5" s="134"/>
      <c r="I5" s="134"/>
      <c r="J5" s="134"/>
      <c r="K5" s="134"/>
      <c r="L5" s="134"/>
    </row>
    <row r="6" spans="1:12" x14ac:dyDescent="0.3">
      <c r="A6" s="130" t="s">
        <v>243</v>
      </c>
      <c r="B6" s="130"/>
      <c r="C6" s="130"/>
      <c r="D6" s="130"/>
      <c r="E6" s="130"/>
      <c r="F6" s="130"/>
      <c r="G6" s="130"/>
      <c r="H6" s="130"/>
      <c r="I6" s="130"/>
      <c r="J6" s="130"/>
      <c r="K6" s="130"/>
      <c r="L6" s="130"/>
    </row>
    <row r="7" spans="1:12" ht="17.399999999999999" customHeight="1" x14ac:dyDescent="0.3">
      <c r="A7" s="130"/>
      <c r="B7" s="130"/>
      <c r="C7" s="130"/>
      <c r="D7" s="130"/>
      <c r="E7" s="130"/>
      <c r="F7" s="130"/>
      <c r="G7" s="130"/>
      <c r="H7" s="130"/>
      <c r="I7" s="130"/>
      <c r="J7" s="130"/>
      <c r="K7" s="130"/>
      <c r="L7" s="130"/>
    </row>
    <row r="8" spans="1:12" ht="17.399999999999999" customHeight="1" x14ac:dyDescent="0.3">
      <c r="A8" s="130"/>
      <c r="B8" s="130"/>
      <c r="C8" s="130"/>
      <c r="D8" s="130"/>
      <c r="E8" s="130"/>
      <c r="F8" s="130"/>
      <c r="G8" s="130"/>
      <c r="H8" s="130"/>
      <c r="I8" s="130"/>
      <c r="J8" s="130"/>
      <c r="K8" s="130"/>
      <c r="L8" s="130"/>
    </row>
    <row r="9" spans="1:12" ht="28.8" customHeight="1" x14ac:dyDescent="0.3">
      <c r="A9" s="78" t="s">
        <v>121</v>
      </c>
      <c r="B9" s="10" t="s">
        <v>273</v>
      </c>
      <c r="C9" s="83" t="s">
        <v>123</v>
      </c>
      <c r="D9" s="132" t="s">
        <v>27</v>
      </c>
      <c r="E9" s="132"/>
      <c r="F9" s="132"/>
      <c r="G9" s="132"/>
      <c r="H9" s="132"/>
      <c r="I9" s="132"/>
      <c r="J9" s="132"/>
      <c r="K9" s="132"/>
      <c r="L9" s="132"/>
    </row>
    <row r="10" spans="1:12" x14ac:dyDescent="0.3">
      <c r="A10" s="97"/>
      <c r="B10" s="30" t="s">
        <v>184</v>
      </c>
      <c r="C10" s="81">
        <f>'Cash Flows Statement - indirect'!E46</f>
        <v>0</v>
      </c>
      <c r="D10" s="131"/>
      <c r="E10" s="131"/>
      <c r="F10" s="131"/>
      <c r="G10" s="131"/>
      <c r="H10" s="131"/>
      <c r="I10" s="131"/>
      <c r="J10" s="131"/>
      <c r="K10" s="131"/>
      <c r="L10" s="131"/>
    </row>
    <row r="11" spans="1:12" x14ac:dyDescent="0.3">
      <c r="A11" s="97"/>
      <c r="B11" s="30" t="s">
        <v>274</v>
      </c>
      <c r="C11" s="81">
        <f>'Cash Flows Statement - indirect'!E40</f>
        <v>0</v>
      </c>
      <c r="D11" s="131"/>
      <c r="E11" s="131"/>
      <c r="F11" s="131"/>
      <c r="G11" s="131"/>
      <c r="H11" s="131"/>
      <c r="I11" s="131"/>
      <c r="J11" s="131"/>
      <c r="K11" s="131"/>
      <c r="L11" s="131"/>
    </row>
    <row r="12" spans="1:12" x14ac:dyDescent="0.3">
      <c r="A12" s="97"/>
      <c r="B12" s="30" t="s">
        <v>185</v>
      </c>
      <c r="C12" s="81">
        <f>'Cash Flows Statement - indirect'!E44</f>
        <v>0</v>
      </c>
      <c r="D12" s="131"/>
      <c r="E12" s="131"/>
      <c r="F12" s="131"/>
      <c r="G12" s="131"/>
      <c r="H12" s="131"/>
      <c r="I12" s="131"/>
      <c r="J12" s="131"/>
      <c r="K12" s="131"/>
      <c r="L12" s="131"/>
    </row>
    <row r="13" spans="1:12" x14ac:dyDescent="0.3">
      <c r="A13" s="77">
        <v>49</v>
      </c>
      <c r="B13" s="45" t="s">
        <v>275</v>
      </c>
      <c r="C13" s="63">
        <f>SUM(C10:C12)</f>
        <v>0</v>
      </c>
      <c r="D13" s="77"/>
      <c r="E13" s="77"/>
      <c r="F13" s="77"/>
      <c r="G13" s="77"/>
      <c r="H13" s="77"/>
      <c r="I13" s="77"/>
      <c r="J13" s="77"/>
      <c r="K13" s="77"/>
      <c r="L13" s="77"/>
    </row>
    <row r="14" spans="1:12" x14ac:dyDescent="0.3">
      <c r="A14" s="77"/>
      <c r="B14" s="54"/>
      <c r="C14" s="82"/>
      <c r="D14" s="77"/>
      <c r="E14" s="77"/>
      <c r="F14" s="77"/>
      <c r="G14" s="77"/>
      <c r="H14" s="77"/>
      <c r="I14" s="77"/>
      <c r="J14" s="77"/>
      <c r="K14" s="77"/>
      <c r="L14" s="77"/>
    </row>
    <row r="15" spans="1:12" ht="28.8" customHeight="1" x14ac:dyDescent="0.3">
      <c r="A15" s="78" t="s">
        <v>121</v>
      </c>
      <c r="B15" s="10" t="s">
        <v>117</v>
      </c>
      <c r="C15" s="83" t="s">
        <v>123</v>
      </c>
      <c r="D15" s="132" t="s">
        <v>27</v>
      </c>
      <c r="E15" s="132"/>
      <c r="F15" s="132"/>
      <c r="G15" s="132"/>
      <c r="H15" s="132"/>
      <c r="I15" s="132"/>
      <c r="J15" s="132"/>
      <c r="K15" s="132"/>
      <c r="L15" s="132"/>
    </row>
    <row r="16" spans="1:12" x14ac:dyDescent="0.3">
      <c r="A16" s="97"/>
      <c r="B16" s="30"/>
      <c r="C16" s="81">
        <v>0</v>
      </c>
      <c r="D16" s="131"/>
      <c r="E16" s="131"/>
      <c r="F16" s="131"/>
      <c r="G16" s="131"/>
      <c r="H16" s="131"/>
      <c r="I16" s="131"/>
      <c r="J16" s="131"/>
      <c r="K16" s="131"/>
      <c r="L16" s="131"/>
    </row>
    <row r="17" spans="1:12" x14ac:dyDescent="0.3">
      <c r="A17" s="97"/>
      <c r="B17" s="30"/>
      <c r="C17" s="81">
        <v>0</v>
      </c>
      <c r="D17" s="131"/>
      <c r="E17" s="131"/>
      <c r="F17" s="131"/>
      <c r="G17" s="131"/>
      <c r="H17" s="131"/>
      <c r="I17" s="131"/>
      <c r="J17" s="131"/>
      <c r="K17" s="131"/>
      <c r="L17" s="131"/>
    </row>
    <row r="18" spans="1:12" x14ac:dyDescent="0.3">
      <c r="A18" s="97"/>
      <c r="B18" s="30"/>
      <c r="C18" s="81">
        <v>0</v>
      </c>
      <c r="D18" s="131"/>
      <c r="E18" s="131"/>
      <c r="F18" s="131"/>
      <c r="G18" s="131"/>
      <c r="H18" s="131"/>
      <c r="I18" s="131"/>
      <c r="J18" s="131"/>
      <c r="K18" s="131"/>
      <c r="L18" s="131"/>
    </row>
    <row r="19" spans="1:12" x14ac:dyDescent="0.3">
      <c r="A19" s="77">
        <v>50</v>
      </c>
      <c r="B19" s="54" t="s">
        <v>276</v>
      </c>
      <c r="C19" s="82">
        <f>SUM(C16:C18)</f>
        <v>0</v>
      </c>
      <c r="D19" s="77"/>
      <c r="E19" s="77"/>
      <c r="F19" s="77"/>
      <c r="G19" s="77"/>
      <c r="H19" s="77"/>
      <c r="I19" s="77"/>
      <c r="J19" s="77"/>
      <c r="K19" s="77"/>
      <c r="L19" s="77"/>
    </row>
    <row r="20" spans="1:12" x14ac:dyDescent="0.3">
      <c r="A20" s="97"/>
      <c r="B20" s="45"/>
      <c r="C20" s="79"/>
      <c r="D20" s="77"/>
      <c r="E20" s="77"/>
      <c r="F20" s="77"/>
      <c r="G20" s="77"/>
      <c r="H20" s="77"/>
      <c r="I20" s="77"/>
      <c r="J20" s="77"/>
      <c r="K20" s="77"/>
      <c r="L20" s="77"/>
    </row>
    <row r="21" spans="1:12" ht="28.8" customHeight="1" x14ac:dyDescent="0.3">
      <c r="A21" s="78" t="s">
        <v>121</v>
      </c>
      <c r="B21" s="10" t="s">
        <v>118</v>
      </c>
      <c r="C21" s="83" t="s">
        <v>123</v>
      </c>
      <c r="D21" s="132" t="s">
        <v>27</v>
      </c>
      <c r="E21" s="132"/>
      <c r="F21" s="132"/>
      <c r="G21" s="132"/>
      <c r="H21" s="132"/>
      <c r="I21" s="132"/>
      <c r="J21" s="132"/>
      <c r="K21" s="132"/>
      <c r="L21" s="132"/>
    </row>
    <row r="22" spans="1:12" x14ac:dyDescent="0.3">
      <c r="A22" s="97"/>
      <c r="B22" s="30"/>
      <c r="C22" s="81">
        <v>0</v>
      </c>
      <c r="D22" s="131"/>
      <c r="E22" s="131"/>
      <c r="F22" s="131"/>
      <c r="G22" s="131"/>
      <c r="H22" s="131"/>
      <c r="I22" s="131"/>
      <c r="J22" s="131"/>
      <c r="K22" s="131"/>
      <c r="L22" s="131"/>
    </row>
    <row r="23" spans="1:12" x14ac:dyDescent="0.3">
      <c r="A23" s="97"/>
      <c r="B23" s="30"/>
      <c r="C23" s="81">
        <v>0</v>
      </c>
      <c r="D23" s="131"/>
      <c r="E23" s="131"/>
      <c r="F23" s="131"/>
      <c r="G23" s="131"/>
      <c r="H23" s="131"/>
      <c r="I23" s="131"/>
      <c r="J23" s="131"/>
      <c r="K23" s="131"/>
      <c r="L23" s="131"/>
    </row>
    <row r="24" spans="1:12" x14ac:dyDescent="0.3">
      <c r="A24" s="97"/>
      <c r="B24" s="30"/>
      <c r="C24" s="81">
        <v>0</v>
      </c>
      <c r="D24" s="131"/>
      <c r="E24" s="131"/>
      <c r="F24" s="131"/>
      <c r="G24" s="131"/>
      <c r="H24" s="131"/>
      <c r="I24" s="131"/>
      <c r="J24" s="131"/>
      <c r="K24" s="131"/>
      <c r="L24" s="131"/>
    </row>
    <row r="25" spans="1:12" x14ac:dyDescent="0.3">
      <c r="A25" s="77">
        <v>51</v>
      </c>
      <c r="B25" s="54" t="s">
        <v>277</v>
      </c>
      <c r="C25" s="82">
        <f>SUM(C22:C24)</f>
        <v>0</v>
      </c>
      <c r="D25" s="77"/>
      <c r="E25" s="77"/>
      <c r="F25" s="77"/>
      <c r="G25" s="77"/>
      <c r="H25" s="77"/>
      <c r="I25" s="77"/>
      <c r="J25" s="77"/>
      <c r="K25" s="77"/>
      <c r="L25" s="77"/>
    </row>
    <row r="26" spans="1:12" x14ac:dyDescent="0.3">
      <c r="A26" s="97"/>
      <c r="B26" s="45"/>
      <c r="C26" s="79"/>
      <c r="D26" s="77"/>
      <c r="E26" s="77"/>
      <c r="F26" s="77"/>
      <c r="G26" s="77"/>
      <c r="H26" s="77"/>
      <c r="I26" s="77"/>
      <c r="J26" s="77"/>
      <c r="K26" s="77"/>
      <c r="L26" s="77"/>
    </row>
    <row r="27" spans="1:12" x14ac:dyDescent="0.3">
      <c r="A27" s="78" t="s">
        <v>121</v>
      </c>
      <c r="B27" s="80" t="s">
        <v>278</v>
      </c>
      <c r="C27" s="83" t="s">
        <v>123</v>
      </c>
      <c r="D27" s="132" t="s">
        <v>27</v>
      </c>
      <c r="E27" s="132"/>
      <c r="F27" s="132"/>
      <c r="G27" s="132"/>
      <c r="H27" s="132"/>
      <c r="I27" s="132"/>
      <c r="J27" s="132"/>
      <c r="K27" s="132"/>
      <c r="L27" s="132"/>
    </row>
    <row r="28" spans="1:12" x14ac:dyDescent="0.3">
      <c r="A28" s="97"/>
      <c r="B28" s="30"/>
      <c r="C28" s="81">
        <v>0</v>
      </c>
      <c r="D28" s="131"/>
      <c r="E28" s="131"/>
      <c r="F28" s="131"/>
      <c r="G28" s="131"/>
      <c r="H28" s="131"/>
      <c r="I28" s="131"/>
      <c r="J28" s="131"/>
      <c r="K28" s="131"/>
      <c r="L28" s="131"/>
    </row>
    <row r="29" spans="1:12" x14ac:dyDescent="0.3">
      <c r="A29" s="97"/>
      <c r="B29" s="30"/>
      <c r="C29" s="81">
        <v>0</v>
      </c>
      <c r="D29" s="131"/>
      <c r="E29" s="131"/>
      <c r="F29" s="131"/>
      <c r="G29" s="131"/>
      <c r="H29" s="131"/>
      <c r="I29" s="131"/>
      <c r="J29" s="131"/>
      <c r="K29" s="131"/>
      <c r="L29" s="131"/>
    </row>
    <row r="30" spans="1:12" x14ac:dyDescent="0.3">
      <c r="A30" s="97"/>
      <c r="B30" s="30"/>
      <c r="C30" s="81">
        <v>0</v>
      </c>
      <c r="D30" s="131"/>
      <c r="E30" s="131"/>
      <c r="F30" s="131"/>
      <c r="G30" s="131"/>
      <c r="H30" s="131"/>
      <c r="I30" s="131"/>
      <c r="J30" s="131"/>
      <c r="K30" s="131"/>
      <c r="L30" s="131"/>
    </row>
    <row r="31" spans="1:12" x14ac:dyDescent="0.3">
      <c r="A31" s="77">
        <v>52</v>
      </c>
      <c r="B31" s="54" t="s">
        <v>279</v>
      </c>
      <c r="C31" s="82">
        <f>SUM(C28:C30)</f>
        <v>0</v>
      </c>
      <c r="D31" s="77"/>
      <c r="E31" s="77"/>
      <c r="F31" s="77"/>
      <c r="G31" s="77"/>
      <c r="H31" s="77"/>
      <c r="I31" s="77"/>
      <c r="J31" s="77"/>
      <c r="K31" s="77"/>
      <c r="L31" s="77"/>
    </row>
    <row r="32" spans="1:12" x14ac:dyDescent="0.3">
      <c r="A32" s="97"/>
      <c r="B32" s="45"/>
      <c r="C32" s="79"/>
      <c r="D32" s="77"/>
      <c r="E32" s="77"/>
      <c r="F32" s="77"/>
      <c r="G32" s="77"/>
      <c r="H32" s="77"/>
      <c r="I32" s="77"/>
      <c r="J32" s="77"/>
      <c r="K32" s="77"/>
      <c r="L32" s="77"/>
    </row>
    <row r="33" spans="1:12" x14ac:dyDescent="0.3">
      <c r="A33" s="78" t="s">
        <v>121</v>
      </c>
      <c r="B33" s="80" t="s">
        <v>280</v>
      </c>
      <c r="C33" s="83" t="s">
        <v>123</v>
      </c>
      <c r="D33" s="132" t="s">
        <v>27</v>
      </c>
      <c r="E33" s="132"/>
      <c r="F33" s="132"/>
      <c r="G33" s="132"/>
      <c r="H33" s="132"/>
      <c r="I33" s="132"/>
      <c r="J33" s="132"/>
      <c r="K33" s="132"/>
      <c r="L33" s="132"/>
    </row>
    <row r="34" spans="1:12" x14ac:dyDescent="0.3">
      <c r="A34" s="97"/>
      <c r="B34" s="30"/>
      <c r="C34" s="81">
        <v>0</v>
      </c>
      <c r="D34" s="131"/>
      <c r="E34" s="131"/>
      <c r="F34" s="131"/>
      <c r="G34" s="131"/>
      <c r="H34" s="131"/>
      <c r="I34" s="131"/>
      <c r="J34" s="131"/>
      <c r="K34" s="131"/>
      <c r="L34" s="131"/>
    </row>
    <row r="35" spans="1:12" x14ac:dyDescent="0.3">
      <c r="A35" s="97"/>
      <c r="B35" s="30"/>
      <c r="C35" s="81">
        <v>0</v>
      </c>
      <c r="D35" s="131"/>
      <c r="E35" s="131"/>
      <c r="F35" s="131"/>
      <c r="G35" s="131"/>
      <c r="H35" s="131"/>
      <c r="I35" s="131"/>
      <c r="J35" s="131"/>
      <c r="K35" s="131"/>
      <c r="L35" s="131"/>
    </row>
    <row r="36" spans="1:12" x14ac:dyDescent="0.3">
      <c r="A36" s="97"/>
      <c r="B36" s="30"/>
      <c r="C36" s="81">
        <v>0</v>
      </c>
      <c r="D36" s="131"/>
      <c r="E36" s="131"/>
      <c r="F36" s="131"/>
      <c r="G36" s="131"/>
      <c r="H36" s="131"/>
      <c r="I36" s="131"/>
      <c r="J36" s="131"/>
      <c r="K36" s="131"/>
      <c r="L36" s="131"/>
    </row>
    <row r="37" spans="1:12" x14ac:dyDescent="0.3">
      <c r="A37" s="77">
        <v>53</v>
      </c>
      <c r="B37" s="54" t="s">
        <v>281</v>
      </c>
      <c r="C37" s="82">
        <f>SUM(C34:C36)</f>
        <v>0</v>
      </c>
      <c r="D37" s="77"/>
      <c r="E37" s="77"/>
      <c r="F37" s="77"/>
      <c r="G37" s="77"/>
      <c r="H37" s="77"/>
      <c r="I37" s="77"/>
      <c r="J37" s="77"/>
      <c r="K37" s="77"/>
      <c r="L37" s="77"/>
    </row>
    <row r="38" spans="1:12" x14ac:dyDescent="0.3">
      <c r="A38" s="97"/>
      <c r="B38" s="45"/>
      <c r="C38" s="79"/>
      <c r="D38" s="77"/>
      <c r="E38" s="77"/>
      <c r="F38" s="77"/>
      <c r="G38" s="77"/>
      <c r="H38" s="77"/>
      <c r="I38" s="77"/>
      <c r="J38" s="77"/>
      <c r="K38" s="77"/>
      <c r="L38" s="77"/>
    </row>
    <row r="39" spans="1:12" ht="28.8" customHeight="1" x14ac:dyDescent="0.3">
      <c r="A39" s="78" t="s">
        <v>121</v>
      </c>
      <c r="B39" s="10" t="s">
        <v>119</v>
      </c>
      <c r="C39" s="83" t="s">
        <v>123</v>
      </c>
      <c r="D39" s="132" t="s">
        <v>27</v>
      </c>
      <c r="E39" s="132"/>
      <c r="F39" s="132"/>
      <c r="G39" s="132"/>
      <c r="H39" s="132"/>
      <c r="I39" s="132"/>
      <c r="J39" s="132"/>
      <c r="K39" s="132"/>
      <c r="L39" s="132"/>
    </row>
    <row r="40" spans="1:12" x14ac:dyDescent="0.3">
      <c r="A40" s="97"/>
      <c r="B40" s="30"/>
      <c r="C40" s="81">
        <v>0</v>
      </c>
      <c r="D40" s="131"/>
      <c r="E40" s="131"/>
      <c r="F40" s="131"/>
      <c r="G40" s="131"/>
      <c r="H40" s="131"/>
      <c r="I40" s="131"/>
      <c r="J40" s="131"/>
      <c r="K40" s="131"/>
      <c r="L40" s="131"/>
    </row>
    <row r="41" spans="1:12" x14ac:dyDescent="0.3">
      <c r="A41" s="97"/>
      <c r="B41" s="30"/>
      <c r="C41" s="81">
        <v>0</v>
      </c>
      <c r="D41" s="131"/>
      <c r="E41" s="131"/>
      <c r="F41" s="131"/>
      <c r="G41" s="131"/>
      <c r="H41" s="131"/>
      <c r="I41" s="131"/>
      <c r="J41" s="131"/>
      <c r="K41" s="131"/>
      <c r="L41" s="131"/>
    </row>
    <row r="42" spans="1:12" x14ac:dyDescent="0.3">
      <c r="A42" s="97"/>
      <c r="B42" s="30"/>
      <c r="C42" s="81">
        <v>0</v>
      </c>
      <c r="D42" s="131"/>
      <c r="E42" s="131"/>
      <c r="F42" s="131"/>
      <c r="G42" s="131"/>
      <c r="H42" s="131"/>
      <c r="I42" s="131"/>
      <c r="J42" s="131"/>
      <c r="K42" s="131"/>
      <c r="L42" s="131"/>
    </row>
    <row r="43" spans="1:12" ht="43.2" x14ac:dyDescent="0.3">
      <c r="A43" s="95">
        <v>54</v>
      </c>
      <c r="B43" s="54" t="s">
        <v>153</v>
      </c>
      <c r="C43" s="82">
        <f>SUM(C40:C42)</f>
        <v>0</v>
      </c>
      <c r="D43" s="135"/>
      <c r="E43" s="135"/>
      <c r="F43" s="135"/>
      <c r="G43" s="135"/>
      <c r="H43" s="135"/>
      <c r="I43" s="135"/>
      <c r="J43" s="135"/>
      <c r="K43" s="135"/>
      <c r="L43" s="135"/>
    </row>
  </sheetData>
  <mergeCells count="31">
    <mergeCell ref="D36:L36"/>
    <mergeCell ref="D39:L39"/>
    <mergeCell ref="D33:L33"/>
    <mergeCell ref="D43:L43"/>
    <mergeCell ref="D16:L16"/>
    <mergeCell ref="D17:L17"/>
    <mergeCell ref="D18:L18"/>
    <mergeCell ref="D22:L22"/>
    <mergeCell ref="D23:L23"/>
    <mergeCell ref="D21:L21"/>
    <mergeCell ref="D27:L27"/>
    <mergeCell ref="D24:L24"/>
    <mergeCell ref="D28:L28"/>
    <mergeCell ref="D42:L42"/>
    <mergeCell ref="D40:L40"/>
    <mergeCell ref="D41:L41"/>
    <mergeCell ref="D30:L30"/>
    <mergeCell ref="D34:L34"/>
    <mergeCell ref="D35:L35"/>
    <mergeCell ref="D29:L29"/>
    <mergeCell ref="D9:L9"/>
    <mergeCell ref="A1:L1"/>
    <mergeCell ref="B2:L2"/>
    <mergeCell ref="B3:L3"/>
    <mergeCell ref="B4:L4"/>
    <mergeCell ref="B5:L5"/>
    <mergeCell ref="A6:L8"/>
    <mergeCell ref="D10:L10"/>
    <mergeCell ref="D11:L11"/>
    <mergeCell ref="D12:L12"/>
    <mergeCell ref="D15:L15"/>
  </mergeCells>
  <pageMargins left="0.7" right="0.7" top="0.75" bottom="0.75" header="0.3" footer="0.3"/>
  <pageSetup paperSize="9" scale="63" orientation="portrait" r:id="rId1"/>
  <headerFooter>
    <oddFooter>&amp;C© www.banana.ch</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75B5"/>
    <pageSetUpPr fitToPage="1"/>
  </sheetPr>
  <dimension ref="A1:D35"/>
  <sheetViews>
    <sheetView showGridLines="0" zoomScale="80" workbookViewId="0"/>
  </sheetViews>
  <sheetFormatPr defaultRowHeight="14.4" x14ac:dyDescent="0.3"/>
  <cols>
    <col min="1" max="1" width="35" customWidth="1"/>
    <col min="2" max="2" width="74" customWidth="1"/>
    <col min="3" max="3" width="82" customWidth="1"/>
    <col min="4" max="4" width="20" customWidth="1"/>
  </cols>
  <sheetData>
    <row r="1" spans="1:4" ht="43.05" customHeight="1" x14ac:dyDescent="0.3">
      <c r="A1" s="105" t="s">
        <v>282</v>
      </c>
      <c r="B1" s="105"/>
      <c r="C1" s="105"/>
      <c r="D1" s="105"/>
    </row>
    <row r="2" spans="1:4" ht="33" customHeight="1" x14ac:dyDescent="0.3">
      <c r="A2" s="138" t="s">
        <v>283</v>
      </c>
      <c r="B2" s="138"/>
      <c r="C2" s="138"/>
      <c r="D2" s="138"/>
    </row>
    <row r="3" spans="1:4" ht="34.049999999999997" customHeight="1" x14ac:dyDescent="0.3">
      <c r="A3" s="136" t="s">
        <v>284</v>
      </c>
      <c r="B3" s="137"/>
      <c r="C3" s="137"/>
      <c r="D3" s="137"/>
    </row>
    <row r="5" spans="1:4" ht="28.05" customHeight="1" x14ac:dyDescent="0.3">
      <c r="A5" s="38" t="s">
        <v>285</v>
      </c>
      <c r="B5" s="111" t="str">
        <f>'General information'!B2</f>
        <v>No-ProfitName LegalForm</v>
      </c>
      <c r="C5" s="137"/>
      <c r="D5" s="12" t="s">
        <v>286</v>
      </c>
    </row>
    <row r="6" spans="1:4" ht="27" customHeight="1" x14ac:dyDescent="0.3">
      <c r="A6" s="38" t="s">
        <v>287</v>
      </c>
      <c r="B6" s="101">
        <f>'General information'!B8</f>
        <v>45292</v>
      </c>
      <c r="C6" s="101">
        <f>'General information'!B9</f>
        <v>45657</v>
      </c>
      <c r="D6" s="12" t="s">
        <v>286</v>
      </c>
    </row>
    <row r="7" spans="1:4" ht="34.049999999999997" customHeight="1" x14ac:dyDescent="0.3">
      <c r="A7" s="38" t="s">
        <v>288</v>
      </c>
      <c r="B7" s="102" t="str">
        <f>'General information'!B21</f>
        <v>EUR</v>
      </c>
      <c r="C7" s="38" t="s">
        <v>289</v>
      </c>
      <c r="D7" s="24"/>
    </row>
    <row r="8" spans="1:4" ht="36" customHeight="1" x14ac:dyDescent="0.3">
      <c r="A8" s="136" t="s">
        <v>290</v>
      </c>
      <c r="B8" s="137"/>
      <c r="C8" s="137"/>
      <c r="D8" s="137"/>
    </row>
    <row r="10" spans="1:4" ht="25.95" customHeight="1" x14ac:dyDescent="0.3">
      <c r="A10" s="123" t="s">
        <v>291</v>
      </c>
      <c r="B10" s="123"/>
      <c r="C10" s="123"/>
      <c r="D10" s="123"/>
    </row>
    <row r="11" spans="1:4" ht="25.95" customHeight="1" x14ac:dyDescent="0.3">
      <c r="A11" s="11" t="s">
        <v>292</v>
      </c>
      <c r="B11" s="11" t="s">
        <v>293</v>
      </c>
      <c r="C11" s="11" t="s">
        <v>294</v>
      </c>
      <c r="D11" s="11" t="s">
        <v>295</v>
      </c>
    </row>
    <row r="12" spans="1:4" ht="84" customHeight="1" x14ac:dyDescent="0.3">
      <c r="A12" s="38" t="s">
        <v>296</v>
      </c>
      <c r="B12" s="12" t="s">
        <v>297</v>
      </c>
      <c r="C12" s="24"/>
      <c r="D12" s="12" t="s">
        <v>298</v>
      </c>
    </row>
    <row r="13" spans="1:4" ht="84" customHeight="1" x14ac:dyDescent="0.3">
      <c r="A13" s="38" t="s">
        <v>299</v>
      </c>
      <c r="B13" s="12" t="s">
        <v>300</v>
      </c>
      <c r="C13" s="24"/>
      <c r="D13" s="12" t="s">
        <v>301</v>
      </c>
    </row>
    <row r="14" spans="1:4" ht="84" customHeight="1" x14ac:dyDescent="0.3">
      <c r="A14" s="38" t="s">
        <v>302</v>
      </c>
      <c r="B14" s="12" t="s">
        <v>303</v>
      </c>
      <c r="C14" s="24"/>
      <c r="D14" s="12" t="s">
        <v>304</v>
      </c>
    </row>
    <row r="15" spans="1:4" ht="64.95" customHeight="1" x14ac:dyDescent="0.3">
      <c r="A15" s="38" t="s">
        <v>305</v>
      </c>
      <c r="B15" s="12" t="s">
        <v>306</v>
      </c>
      <c r="C15" s="24"/>
      <c r="D15" s="12" t="s">
        <v>307</v>
      </c>
    </row>
    <row r="16" spans="1:4" ht="84" customHeight="1" x14ac:dyDescent="0.3">
      <c r="A16" s="38" t="s">
        <v>308</v>
      </c>
      <c r="B16" s="12" t="s">
        <v>309</v>
      </c>
      <c r="C16" s="24"/>
      <c r="D16" s="12" t="s">
        <v>310</v>
      </c>
    </row>
    <row r="18" spans="1:4" ht="25.95" customHeight="1" x14ac:dyDescent="0.3">
      <c r="A18" s="123" t="s">
        <v>311</v>
      </c>
      <c r="B18" s="123"/>
      <c r="C18" s="123"/>
      <c r="D18" s="123"/>
    </row>
    <row r="19" spans="1:4" ht="84" customHeight="1" x14ac:dyDescent="0.3">
      <c r="A19" s="38" t="s">
        <v>312</v>
      </c>
      <c r="B19" s="12" t="s">
        <v>313</v>
      </c>
      <c r="C19" s="24"/>
      <c r="D19" s="12" t="s">
        <v>314</v>
      </c>
    </row>
    <row r="20" spans="1:4" ht="64.95" customHeight="1" x14ac:dyDescent="0.3">
      <c r="A20" s="38" t="s">
        <v>315</v>
      </c>
      <c r="B20" s="12" t="s">
        <v>316</v>
      </c>
      <c r="C20" s="24"/>
      <c r="D20" s="12" t="s">
        <v>317</v>
      </c>
    </row>
    <row r="21" spans="1:4" ht="84" customHeight="1" x14ac:dyDescent="0.3">
      <c r="A21" s="38" t="s">
        <v>318</v>
      </c>
      <c r="B21" s="12" t="s">
        <v>319</v>
      </c>
      <c r="C21" s="24"/>
      <c r="D21" s="12" t="s">
        <v>320</v>
      </c>
    </row>
    <row r="22" spans="1:4" ht="84" customHeight="1" x14ac:dyDescent="0.3">
      <c r="A22" s="38" t="s">
        <v>321</v>
      </c>
      <c r="B22" s="12" t="s">
        <v>322</v>
      </c>
      <c r="C22" s="24"/>
      <c r="D22" s="12" t="s">
        <v>323</v>
      </c>
    </row>
    <row r="23" spans="1:4" ht="84" customHeight="1" x14ac:dyDescent="0.3">
      <c r="A23" s="38" t="s">
        <v>324</v>
      </c>
      <c r="B23" s="12" t="s">
        <v>325</v>
      </c>
      <c r="C23" s="24"/>
      <c r="D23" s="12" t="s">
        <v>326</v>
      </c>
    </row>
    <row r="25" spans="1:4" ht="25.95" customHeight="1" x14ac:dyDescent="0.3">
      <c r="A25" s="123" t="s">
        <v>327</v>
      </c>
      <c r="B25" s="123"/>
      <c r="C25" s="123"/>
      <c r="D25" s="123"/>
    </row>
    <row r="26" spans="1:4" ht="84" customHeight="1" x14ac:dyDescent="0.3">
      <c r="A26" s="38" t="s">
        <v>328</v>
      </c>
      <c r="B26" s="12" t="s">
        <v>329</v>
      </c>
      <c r="C26" s="24"/>
      <c r="D26" s="12" t="s">
        <v>330</v>
      </c>
    </row>
    <row r="27" spans="1:4" ht="84" customHeight="1" x14ac:dyDescent="0.3">
      <c r="A27" s="38" t="s">
        <v>331</v>
      </c>
      <c r="B27" s="12" t="s">
        <v>332</v>
      </c>
      <c r="C27" s="24"/>
      <c r="D27" s="12" t="s">
        <v>333</v>
      </c>
    </row>
    <row r="28" spans="1:4" ht="84" customHeight="1" x14ac:dyDescent="0.3">
      <c r="A28" s="38" t="s">
        <v>334</v>
      </c>
      <c r="B28" s="12" t="s">
        <v>335</v>
      </c>
      <c r="C28" s="24"/>
      <c r="D28" s="12" t="s">
        <v>336</v>
      </c>
    </row>
    <row r="29" spans="1:4" ht="64.95" customHeight="1" x14ac:dyDescent="0.3">
      <c r="A29" s="38" t="s">
        <v>337</v>
      </c>
      <c r="B29" s="12" t="s">
        <v>338</v>
      </c>
      <c r="C29" s="24"/>
      <c r="D29" s="12" t="s">
        <v>339</v>
      </c>
    </row>
    <row r="30" spans="1:4" ht="84" customHeight="1" x14ac:dyDescent="0.3">
      <c r="A30" s="38" t="s">
        <v>340</v>
      </c>
      <c r="B30" s="12" t="s">
        <v>341</v>
      </c>
      <c r="C30" s="24"/>
      <c r="D30" s="12" t="s">
        <v>342</v>
      </c>
    </row>
    <row r="31" spans="1:4" ht="84" customHeight="1" x14ac:dyDescent="0.3">
      <c r="A31" s="38" t="s">
        <v>343</v>
      </c>
      <c r="B31" s="12" t="s">
        <v>344</v>
      </c>
      <c r="C31" s="24"/>
      <c r="D31" s="12" t="s">
        <v>345</v>
      </c>
    </row>
    <row r="33" spans="1:4" ht="25.05" customHeight="1" x14ac:dyDescent="0.3">
      <c r="A33" s="123" t="s">
        <v>346</v>
      </c>
      <c r="B33" s="123"/>
      <c r="C33" s="123"/>
      <c r="D33" s="123"/>
    </row>
    <row r="34" spans="1:4" ht="34.950000000000003" customHeight="1" x14ac:dyDescent="0.3">
      <c r="A34" s="136" t="s">
        <v>347</v>
      </c>
      <c r="B34" s="137"/>
      <c r="C34" s="137"/>
      <c r="D34" s="137"/>
    </row>
    <row r="35" spans="1:4" ht="36" customHeight="1" x14ac:dyDescent="0.3">
      <c r="A35" s="136" t="s">
        <v>348</v>
      </c>
      <c r="B35" s="137"/>
      <c r="C35" s="137"/>
      <c r="D35" s="137"/>
    </row>
  </sheetData>
  <mergeCells count="11">
    <mergeCell ref="A1:D1"/>
    <mergeCell ref="A18:D18"/>
    <mergeCell ref="A8:D8"/>
    <mergeCell ref="A34:D34"/>
    <mergeCell ref="A35:D35"/>
    <mergeCell ref="B5:C5"/>
    <mergeCell ref="A3:D3"/>
    <mergeCell ref="A25:D25"/>
    <mergeCell ref="A2:D2"/>
    <mergeCell ref="A33:D33"/>
    <mergeCell ref="A10:D10"/>
  </mergeCells>
  <printOptions horizontalCentered="1"/>
  <pageMargins left="0.75" right="0.75" top="1" bottom="1" header="0.5" footer="0.5"/>
  <pageSetup paperSize="8" fitToHeight="0" orientation="landscape"/>
  <headerFooter>
    <oddFooter>&amp;CINPAS - Explanatory notes&amp;RPage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9</vt:i4>
      </vt:variant>
      <vt:variant>
        <vt:lpstr>Intervalli denominati</vt:lpstr>
      </vt:variant>
      <vt:variant>
        <vt:i4>7</vt:i4>
      </vt:variant>
    </vt:vector>
  </HeadingPairs>
  <TitlesOfParts>
    <vt:vector size="16" baseType="lpstr">
      <vt:lpstr>General information</vt:lpstr>
      <vt:lpstr>Statement of Financial Position</vt:lpstr>
      <vt:lpstr>Statement of Income &amp; Expenses</vt:lpstr>
      <vt:lpstr>Statement of Changes NetAssets</vt:lpstr>
      <vt:lpstr>Cash Flows Statement - indirect</vt:lpstr>
      <vt:lpstr>Notes of Financial Statement</vt:lpstr>
      <vt:lpstr>Notes of Income Statement</vt:lpstr>
      <vt:lpstr>Notes of Cash flows statement</vt:lpstr>
      <vt:lpstr>Additional INPAS Notes</vt:lpstr>
      <vt:lpstr>'Cash Flows Statement - indirect'!Area_stampa</vt:lpstr>
      <vt:lpstr>'General information'!Area_stampa</vt:lpstr>
      <vt:lpstr>'Notes of Cash flows statement'!Area_stampa</vt:lpstr>
      <vt:lpstr>'Notes of Financial Statement'!Area_stampa</vt:lpstr>
      <vt:lpstr>'Notes of Income Statement'!Area_stampa</vt:lpstr>
      <vt:lpstr>'Statement of Changes NetAssets'!Area_stampa</vt:lpstr>
      <vt:lpstr>'Statement of Financial Position'!Area_stampa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Bravi</dc:creator>
  <cp:keywords/>
  <dc:description/>
  <cp:lastModifiedBy>Patrick Pasquillo</cp:lastModifiedBy>
  <cp:revision/>
  <cp:lastPrinted>2024-11-28T08:44:29Z</cp:lastPrinted>
  <dcterms:created xsi:type="dcterms:W3CDTF">2024-03-21T10:19:00Z</dcterms:created>
  <dcterms:modified xsi:type="dcterms:W3CDTF">2026-10-21T07:39:05Z</dcterms:modified>
  <cp:category/>
  <cp:contentStatus/>
</cp:coreProperties>
</file>