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.pasquillo\Documents\GitHub\Universal\realestate\documents\"/>
    </mc:Choice>
  </mc:AlternateContent>
  <xr:revisionPtr revIDLastSave="0" documentId="13_ncr:1_{C390F5AB-03ED-42D0-BDE5-2FD397C68D7A}" xr6:coauthVersionLast="47" xr6:coauthVersionMax="47" xr10:uidLastSave="{00000000-0000-0000-0000-000000000000}"/>
  <bookViews>
    <workbookView xWindow="57480" yWindow="-135" windowWidth="29040" windowHeight="15720" xr2:uid="{C8DA3664-E04A-4EE4-B0E8-18F2F24E5315}"/>
  </bookViews>
  <sheets>
    <sheet name="Conguagli" sheetId="4" r:id="rId1"/>
    <sheet name="Conguagli pro-rata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5" l="1"/>
  <c r="C28" i="5"/>
  <c r="B24" i="5"/>
  <c r="G24" i="5" s="1"/>
  <c r="B23" i="5"/>
  <c r="D19" i="5"/>
  <c r="F18" i="5"/>
  <c r="E18" i="5"/>
  <c r="D18" i="5"/>
  <c r="G18" i="5" s="1"/>
  <c r="F17" i="5"/>
  <c r="E16" i="5"/>
  <c r="G9" i="5"/>
  <c r="E22" i="5" s="1"/>
  <c r="G6" i="5"/>
  <c r="E21" i="5" s="1"/>
  <c r="E19" i="4"/>
  <c r="F19" i="4"/>
  <c r="D19" i="4"/>
  <c r="E13" i="4"/>
  <c r="F13" i="4"/>
  <c r="D13" i="4"/>
  <c r="B24" i="4"/>
  <c r="G24" i="4" s="1"/>
  <c r="B23" i="4"/>
  <c r="F22" i="4"/>
  <c r="E22" i="4"/>
  <c r="D22" i="4"/>
  <c r="G22" i="4" s="1"/>
  <c r="G19" i="4"/>
  <c r="F18" i="4"/>
  <c r="E18" i="4"/>
  <c r="D18" i="4"/>
  <c r="G18" i="4" s="1"/>
  <c r="F15" i="4"/>
  <c r="E15" i="4"/>
  <c r="D15" i="4"/>
  <c r="G15" i="4" s="1"/>
  <c r="F14" i="4"/>
  <c r="E14" i="4"/>
  <c r="D14" i="4"/>
  <c r="G14" i="4" s="1"/>
  <c r="G9" i="4"/>
  <c r="G6" i="4"/>
  <c r="D20" i="4" s="1"/>
  <c r="E19" i="5" l="1"/>
  <c r="F13" i="5"/>
  <c r="D14" i="5"/>
  <c r="E14" i="5"/>
  <c r="F14" i="5"/>
  <c r="D15" i="5"/>
  <c r="G15" i="5" s="1"/>
  <c r="F22" i="5"/>
  <c r="F15" i="5"/>
  <c r="G19" i="5"/>
  <c r="F19" i="5"/>
  <c r="D20" i="5"/>
  <c r="E20" i="5"/>
  <c r="F21" i="5"/>
  <c r="D22" i="5"/>
  <c r="E15" i="5"/>
  <c r="D16" i="5"/>
  <c r="F16" i="5"/>
  <c r="F20" i="5"/>
  <c r="D13" i="5"/>
  <c r="D17" i="5"/>
  <c r="D21" i="5"/>
  <c r="E13" i="5"/>
  <c r="E17" i="5"/>
  <c r="D16" i="4"/>
  <c r="E16" i="4"/>
  <c r="E20" i="4"/>
  <c r="G20" i="4" s="1"/>
  <c r="F16" i="4"/>
  <c r="F23" i="4" s="1"/>
  <c r="F25" i="4" s="1"/>
  <c r="F20" i="4"/>
  <c r="D17" i="4"/>
  <c r="D21" i="4"/>
  <c r="E17" i="4"/>
  <c r="E21" i="4"/>
  <c r="F17" i="4"/>
  <c r="F21" i="4"/>
  <c r="G14" i="5" l="1"/>
  <c r="E23" i="5"/>
  <c r="E25" i="5" s="1"/>
  <c r="G21" i="5"/>
  <c r="G20" i="5"/>
  <c r="G22" i="5"/>
  <c r="F23" i="5"/>
  <c r="F25" i="5" s="1"/>
  <c r="G17" i="5"/>
  <c r="G13" i="5"/>
  <c r="D23" i="5"/>
  <c r="G16" i="5"/>
  <c r="E29" i="5"/>
  <c r="E28" i="5"/>
  <c r="E23" i="4"/>
  <c r="E25" i="4" s="1"/>
  <c r="G21" i="4"/>
  <c r="G17" i="4"/>
  <c r="G13" i="4"/>
  <c r="D23" i="4"/>
  <c r="G16" i="4"/>
  <c r="D25" i="5" l="1"/>
  <c r="B25" i="5" s="1"/>
  <c r="G25" i="5" s="1"/>
  <c r="G23" i="5"/>
  <c r="D25" i="4"/>
  <c r="B25" i="4" s="1"/>
  <c r="G25" i="4" s="1"/>
  <c r="G23" i="4"/>
</calcChain>
</file>

<file path=xl/sharedStrings.xml><?xml version="1.0" encoding="utf-8"?>
<sst xmlns="http://schemas.openxmlformats.org/spreadsheetml/2006/main" count="93" uniqueCount="33">
  <si>
    <t>Riscaldamento</t>
  </si>
  <si>
    <t>Stipendi portineria</t>
  </si>
  <si>
    <t>Contributi portineria</t>
  </si>
  <si>
    <t>Prodotti di pulizia portineria</t>
  </si>
  <si>
    <t>Manutenzione giardino</t>
  </si>
  <si>
    <t>Elettricità</t>
  </si>
  <si>
    <t>Acqua potabile</t>
  </si>
  <si>
    <t>Abbonamenti ascensori</t>
  </si>
  <si>
    <t>Altri abbonamenti</t>
  </si>
  <si>
    <t>Tv</t>
  </si>
  <si>
    <t>App. 1</t>
  </si>
  <si>
    <t>App. 2</t>
  </si>
  <si>
    <t>App. 3</t>
  </si>
  <si>
    <t>m2</t>
  </si>
  <si>
    <t>unità</t>
  </si>
  <si>
    <t>Totale</t>
  </si>
  <si>
    <t>Periodo:</t>
  </si>
  <si>
    <t>altro</t>
  </si>
  <si>
    <t>consumo (riscaldamento)</t>
  </si>
  <si>
    <t>consumo (acqua)</t>
  </si>
  <si>
    <t>Tipo</t>
  </si>
  <si>
    <t>Calcolo prorata</t>
  </si>
  <si>
    <t>Inquilino 1</t>
  </si>
  <si>
    <t>Inquilino 2</t>
  </si>
  <si>
    <t>Mesi</t>
  </si>
  <si>
    <t>Acconto</t>
  </si>
  <si>
    <t>Conguaglio</t>
  </si>
  <si>
    <t>Controllo</t>
  </si>
  <si>
    <t>Suddivisione delle spese rimborsabili agli inquilini</t>
  </si>
  <si>
    <t>Nome Stabile</t>
  </si>
  <si>
    <t>Tipo di suddivisione</t>
  </si>
  <si>
    <t>Spesa da suddividere</t>
  </si>
  <si>
    <t>Anticipi richiesti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</si>
</sst>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vertical="center"/>
    </xf>
    <xf numFmtId="4" fontId="0" fillId="0" borderId="1" xfId="0" applyNumberFormat="1" applyBorder="1"/>
    <xf numFmtId="4" fontId="3" fillId="0" borderId="1" xfId="0" applyNumberFormat="1" applyFont="1" applyBorder="1"/>
    <xf numFmtId="4" fontId="2" fillId="0" borderId="1" xfId="0" applyNumberFormat="1" applyFont="1" applyBorder="1"/>
    <xf numFmtId="4" fontId="0" fillId="0" borderId="1" xfId="0" applyNumberFormat="1" applyBorder="1" applyAlignment="1">
      <alignment vertical="center"/>
    </xf>
    <xf numFmtId="4" fontId="3" fillId="0" borderId="1" xfId="0" applyNumberFormat="1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2" xfId="0" applyFont="1" applyBorder="1" applyAlignment="1">
      <alignment horizontal="left"/>
    </xf>
  </cellXfs>
  <cellStyles count="1">
    <cellStyle name="Normale" xfId="0" builtinId="0"/>
  </cellStyles>
  <dxfs count="8">
    <dxf>
      <font>
        <strike val="0"/>
      </font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strike val="0"/>
      </font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7C2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7A6D9-8C65-45B6-8476-D92DBFA04469}">
  <dimension ref="A1:G25"/>
  <sheetViews>
    <sheetView tabSelected="1" workbookViewId="0">
      <selection activeCell="B1" sqref="B1"/>
    </sheetView>
  </sheetViews>
  <sheetFormatPr defaultRowHeight="14.4" x14ac:dyDescent="0.3"/>
  <cols>
    <col min="1" max="1" width="23.44140625" customWidth="1"/>
    <col min="2" max="2" width="10.44140625" customWidth="1"/>
    <col min="3" max="3" width="10.109375" bestFit="1" customWidth="1"/>
  </cols>
  <sheetData>
    <row r="1" spans="1:7" x14ac:dyDescent="0.3">
      <c r="A1" t="s">
        <v>29</v>
      </c>
    </row>
    <row r="2" spans="1:7" x14ac:dyDescent="0.3">
      <c r="A2" s="1" t="s">
        <v>28</v>
      </c>
    </row>
    <row r="3" spans="1:7" x14ac:dyDescent="0.3">
      <c r="A3" t="s">
        <v>16</v>
      </c>
      <c r="B3" s="2">
        <v>46023</v>
      </c>
      <c r="C3" s="2">
        <v>46387</v>
      </c>
    </row>
    <row r="5" spans="1:7" x14ac:dyDescent="0.3">
      <c r="A5" s="24" t="s">
        <v>30</v>
      </c>
      <c r="B5" s="25"/>
      <c r="C5" s="26"/>
      <c r="D5" s="8" t="s">
        <v>10</v>
      </c>
      <c r="E5" s="9" t="s">
        <v>11</v>
      </c>
      <c r="F5" s="9" t="s">
        <v>12</v>
      </c>
      <c r="G5" s="9" t="s">
        <v>15</v>
      </c>
    </row>
    <row r="6" spans="1:7" x14ac:dyDescent="0.3">
      <c r="A6" s="19" t="s">
        <v>13</v>
      </c>
      <c r="B6" s="20"/>
      <c r="C6" s="21"/>
      <c r="D6" s="4">
        <v>54</v>
      </c>
      <c r="E6" s="5">
        <v>85</v>
      </c>
      <c r="F6" s="5">
        <v>124</v>
      </c>
      <c r="G6" s="5">
        <f>SUM($D6:$F6)</f>
        <v>263</v>
      </c>
    </row>
    <row r="7" spans="1:7" x14ac:dyDescent="0.3">
      <c r="A7" s="19" t="s">
        <v>18</v>
      </c>
      <c r="B7" s="20"/>
      <c r="C7" s="21"/>
      <c r="D7" s="4"/>
      <c r="E7" s="5"/>
      <c r="F7" s="5"/>
      <c r="G7" s="5"/>
    </row>
    <row r="8" spans="1:7" x14ac:dyDescent="0.3">
      <c r="A8" s="19" t="s">
        <v>19</v>
      </c>
      <c r="B8" s="20"/>
      <c r="C8" s="21"/>
      <c r="D8" s="4"/>
      <c r="E8" s="5"/>
      <c r="F8" s="5"/>
      <c r="G8" s="5"/>
    </row>
    <row r="9" spans="1:7" x14ac:dyDescent="0.3">
      <c r="A9" s="19" t="s">
        <v>14</v>
      </c>
      <c r="B9" s="20"/>
      <c r="C9" s="21"/>
      <c r="D9" s="4">
        <v>1</v>
      </c>
      <c r="E9" s="5">
        <v>1</v>
      </c>
      <c r="F9" s="5">
        <v>1</v>
      </c>
      <c r="G9" s="5">
        <f>SUM($D9:$F9)</f>
        <v>3</v>
      </c>
    </row>
    <row r="10" spans="1:7" x14ac:dyDescent="0.3">
      <c r="A10" s="19" t="s">
        <v>17</v>
      </c>
      <c r="B10" s="20"/>
      <c r="C10" s="21"/>
      <c r="D10" s="4"/>
      <c r="E10" s="5"/>
      <c r="F10" s="5"/>
      <c r="G10" s="5"/>
    </row>
    <row r="12" spans="1:7" x14ac:dyDescent="0.3">
      <c r="A12" s="6" t="s">
        <v>31</v>
      </c>
      <c r="B12" s="7" t="s">
        <v>15</v>
      </c>
      <c r="C12" s="7" t="s">
        <v>20</v>
      </c>
      <c r="D12" s="7" t="s">
        <v>10</v>
      </c>
      <c r="E12" s="7" t="s">
        <v>11</v>
      </c>
      <c r="F12" s="7" t="s">
        <v>12</v>
      </c>
      <c r="G12" s="7" t="s">
        <v>27</v>
      </c>
    </row>
    <row r="13" spans="1:7" x14ac:dyDescent="0.3">
      <c r="A13" s="5" t="s">
        <v>0</v>
      </c>
      <c r="B13" s="13">
        <v>4000</v>
      </c>
      <c r="C13" s="3" t="s">
        <v>13</v>
      </c>
      <c r="D13" s="16">
        <f>$B13/$G$6*D$6</f>
        <v>821.29277566539929</v>
      </c>
      <c r="E13" s="16">
        <f t="shared" ref="E13:F13" si="0">$B13/$G$6*E$6</f>
        <v>1292.7756653992396</v>
      </c>
      <c r="F13" s="16">
        <f t="shared" si="0"/>
        <v>1885.9315589353612</v>
      </c>
      <c r="G13" s="16">
        <f>$B13-SUM($D13:$F13)</f>
        <v>0</v>
      </c>
    </row>
    <row r="14" spans="1:7" x14ac:dyDescent="0.3">
      <c r="A14" s="5" t="s">
        <v>1</v>
      </c>
      <c r="B14" s="13">
        <v>2000</v>
      </c>
      <c r="C14" s="3" t="s">
        <v>13</v>
      </c>
      <c r="D14" s="16">
        <f>$B14/$G$6*$D$6</f>
        <v>410.64638783269965</v>
      </c>
      <c r="E14" s="16">
        <f>$B14/$G$6*$E$6</f>
        <v>646.38783269961982</v>
      </c>
      <c r="F14" s="16">
        <f>$B14/$G$6*$F$6</f>
        <v>942.96577946768059</v>
      </c>
      <c r="G14" s="16">
        <f t="shared" ref="G14:G25" si="1">$B14-SUM($D14:$F14)</f>
        <v>0</v>
      </c>
    </row>
    <row r="15" spans="1:7" x14ac:dyDescent="0.3">
      <c r="A15" s="5" t="s">
        <v>2</v>
      </c>
      <c r="B15" s="13">
        <v>200</v>
      </c>
      <c r="C15" s="3" t="s">
        <v>13</v>
      </c>
      <c r="D15" s="16">
        <f>$B15/$G$6*$D$6</f>
        <v>41.064638783269956</v>
      </c>
      <c r="E15" s="16">
        <f>$B15/$G$6*$E$6</f>
        <v>64.638783269961976</v>
      </c>
      <c r="F15" s="16">
        <f>$B15/$G$6*$F$6</f>
        <v>94.296577946768053</v>
      </c>
      <c r="G15" s="16">
        <f t="shared" si="1"/>
        <v>0</v>
      </c>
    </row>
    <row r="16" spans="1:7" x14ac:dyDescent="0.3">
      <c r="A16" s="5" t="s">
        <v>3</v>
      </c>
      <c r="B16" s="13">
        <v>50</v>
      </c>
      <c r="C16" s="3" t="s">
        <v>13</v>
      </c>
      <c r="D16" s="16">
        <f>$B16/$G$6*$D$6</f>
        <v>10.266159695817489</v>
      </c>
      <c r="E16" s="16">
        <f>$B16/$G$6*$E$6</f>
        <v>16.159695817490494</v>
      </c>
      <c r="F16" s="16">
        <f>$B16/$G$6*$F$6</f>
        <v>23.574144486692013</v>
      </c>
      <c r="G16" s="16">
        <f t="shared" si="1"/>
        <v>0</v>
      </c>
    </row>
    <row r="17" spans="1:7" x14ac:dyDescent="0.3">
      <c r="A17" s="5" t="s">
        <v>4</v>
      </c>
      <c r="B17" s="13">
        <v>800</v>
      </c>
      <c r="C17" s="3" t="s">
        <v>13</v>
      </c>
      <c r="D17" s="16">
        <f>$B17/$G$6*$D$6</f>
        <v>164.25855513307982</v>
      </c>
      <c r="E17" s="16">
        <f>$B17/$G$6*$E$6</f>
        <v>258.55513307984791</v>
      </c>
      <c r="F17" s="16">
        <f>$B17/$G$6*$F$6</f>
        <v>377.18631178707221</v>
      </c>
      <c r="G17" s="16">
        <f t="shared" si="1"/>
        <v>0</v>
      </c>
    </row>
    <row r="18" spans="1:7" x14ac:dyDescent="0.3">
      <c r="A18" s="5" t="s">
        <v>5</v>
      </c>
      <c r="B18" s="13">
        <v>300</v>
      </c>
      <c r="C18" s="3" t="s">
        <v>13</v>
      </c>
      <c r="D18" s="16">
        <f>$B18/$G$6*$D$6</f>
        <v>61.596958174904941</v>
      </c>
      <c r="E18" s="16">
        <f>$B18/$G$6*$E$6</f>
        <v>96.958174904942965</v>
      </c>
      <c r="F18" s="16">
        <f>$B18/$G$6*$F$6</f>
        <v>141.44486692015209</v>
      </c>
      <c r="G18" s="16">
        <f t="shared" si="1"/>
        <v>0</v>
      </c>
    </row>
    <row r="19" spans="1:7" x14ac:dyDescent="0.3">
      <c r="A19" s="5" t="s">
        <v>6</v>
      </c>
      <c r="B19" s="13">
        <v>400</v>
      </c>
      <c r="C19" s="3" t="s">
        <v>13</v>
      </c>
      <c r="D19" s="16">
        <f>$B19/$G$6*D$6</f>
        <v>82.129277566539912</v>
      </c>
      <c r="E19" s="16">
        <f t="shared" ref="E19:F19" si="2">$B19/$G$6*E$6</f>
        <v>129.27756653992395</v>
      </c>
      <c r="F19" s="16">
        <f t="shared" si="2"/>
        <v>188.59315589353611</v>
      </c>
      <c r="G19" s="16">
        <f t="shared" si="1"/>
        <v>0</v>
      </c>
    </row>
    <row r="20" spans="1:7" x14ac:dyDescent="0.3">
      <c r="A20" s="5" t="s">
        <v>7</v>
      </c>
      <c r="B20" s="13">
        <v>500</v>
      </c>
      <c r="C20" s="3" t="s">
        <v>13</v>
      </c>
      <c r="D20" s="16">
        <f>$B20/$G$6*$D$6</f>
        <v>102.66159695817491</v>
      </c>
      <c r="E20" s="16">
        <f>$B20/$G$6*$E$6</f>
        <v>161.59695817490496</v>
      </c>
      <c r="F20" s="16">
        <f>$B20/$G$6*$F$6</f>
        <v>235.74144486692015</v>
      </c>
      <c r="G20" s="16">
        <f t="shared" si="1"/>
        <v>0</v>
      </c>
    </row>
    <row r="21" spans="1:7" x14ac:dyDescent="0.3">
      <c r="A21" s="5" t="s">
        <v>8</v>
      </c>
      <c r="B21" s="13">
        <v>100</v>
      </c>
      <c r="C21" s="3" t="s">
        <v>13</v>
      </c>
      <c r="D21" s="16">
        <f>$B21/$G$6*$D$6</f>
        <v>20.532319391634978</v>
      </c>
      <c r="E21" s="16">
        <f>$B21/$G$6*$E$6</f>
        <v>32.319391634980988</v>
      </c>
      <c r="F21" s="16">
        <f>$B21/$G$6*$F$6</f>
        <v>47.148288973384027</v>
      </c>
      <c r="G21" s="16">
        <f t="shared" si="1"/>
        <v>0</v>
      </c>
    </row>
    <row r="22" spans="1:7" x14ac:dyDescent="0.3">
      <c r="A22" s="5" t="s">
        <v>9</v>
      </c>
      <c r="B22" s="13">
        <v>1250</v>
      </c>
      <c r="C22" s="3" t="s">
        <v>14</v>
      </c>
      <c r="D22" s="16">
        <f>$B22/$G$9*$D$9</f>
        <v>416.66666666666669</v>
      </c>
      <c r="E22" s="16">
        <f>$B22/$G$9*$E$9</f>
        <v>416.66666666666669</v>
      </c>
      <c r="F22" s="16">
        <f>$B22/$G$9*$F$9</f>
        <v>416.66666666666669</v>
      </c>
      <c r="G22" s="16">
        <f t="shared" si="1"/>
        <v>0</v>
      </c>
    </row>
    <row r="23" spans="1:7" x14ac:dyDescent="0.3">
      <c r="A23" s="10" t="s">
        <v>15</v>
      </c>
      <c r="B23" s="14">
        <f>SUBTOTAL(109,B13:B22)</f>
        <v>9600</v>
      </c>
      <c r="C23" s="22"/>
      <c r="D23" s="17">
        <f>SUBTOTAL(109,D13:D22)</f>
        <v>2131.1153358681877</v>
      </c>
      <c r="E23" s="17">
        <f t="shared" ref="E23:F23" si="3">SUBTOTAL(109,E13:E22)</f>
        <v>3115.3358681875793</v>
      </c>
      <c r="F23" s="17">
        <f t="shared" si="3"/>
        <v>4353.5487959442335</v>
      </c>
      <c r="G23" s="17">
        <f t="shared" si="1"/>
        <v>0</v>
      </c>
    </row>
    <row r="24" spans="1:7" x14ac:dyDescent="0.3">
      <c r="A24" s="11" t="s">
        <v>32</v>
      </c>
      <c r="B24" s="15">
        <f>SUM($D24:$F24)</f>
        <v>-9200</v>
      </c>
      <c r="C24" s="23"/>
      <c r="D24" s="18">
        <v>-2200</v>
      </c>
      <c r="E24" s="18">
        <v>-3000</v>
      </c>
      <c r="F24" s="18">
        <v>-4000</v>
      </c>
      <c r="G24" s="18">
        <f t="shared" si="1"/>
        <v>0</v>
      </c>
    </row>
    <row r="25" spans="1:7" x14ac:dyDescent="0.3">
      <c r="A25" s="5" t="s">
        <v>26</v>
      </c>
      <c r="B25" s="13">
        <f>SUM($D25:$F25)</f>
        <v>400.00000000000045</v>
      </c>
      <c r="C25" s="23"/>
      <c r="D25" s="16">
        <f>$D23+$D24</f>
        <v>-68.884664131812315</v>
      </c>
      <c r="E25" s="16">
        <f>$E23+$E24</f>
        <v>115.33586818757931</v>
      </c>
      <c r="F25" s="16">
        <f>$F23+$F24</f>
        <v>353.54879594423346</v>
      </c>
      <c r="G25" s="16">
        <f t="shared" si="1"/>
        <v>0</v>
      </c>
    </row>
  </sheetData>
  <mergeCells count="7">
    <mergeCell ref="A10:C10"/>
    <mergeCell ref="C23:C25"/>
    <mergeCell ref="A5:C5"/>
    <mergeCell ref="A6:C6"/>
    <mergeCell ref="A7:C7"/>
    <mergeCell ref="A8:C8"/>
    <mergeCell ref="A9:C9"/>
  </mergeCells>
  <conditionalFormatting sqref="D25:F25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G19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70CAB-7114-4C69-9786-8ADBC35F7855}">
  <dimension ref="A1:G29"/>
  <sheetViews>
    <sheetView workbookViewId="0">
      <selection activeCell="B1" sqref="B1"/>
    </sheetView>
  </sheetViews>
  <sheetFormatPr defaultRowHeight="14.4" x14ac:dyDescent="0.3"/>
  <cols>
    <col min="1" max="1" width="24" customWidth="1"/>
    <col min="2" max="3" width="10.109375" bestFit="1" customWidth="1"/>
    <col min="5" max="5" width="10.109375" customWidth="1"/>
  </cols>
  <sheetData>
    <row r="1" spans="1:7" x14ac:dyDescent="0.3">
      <c r="A1" t="s">
        <v>29</v>
      </c>
    </row>
    <row r="2" spans="1:7" x14ac:dyDescent="0.3">
      <c r="A2" s="1" t="s">
        <v>28</v>
      </c>
    </row>
    <row r="3" spans="1:7" x14ac:dyDescent="0.3">
      <c r="A3" t="s">
        <v>16</v>
      </c>
      <c r="B3" s="2">
        <v>46023</v>
      </c>
      <c r="C3" s="2">
        <v>46387</v>
      </c>
    </row>
    <row r="5" spans="1:7" x14ac:dyDescent="0.3">
      <c r="A5" s="24" t="s">
        <v>30</v>
      </c>
      <c r="B5" s="25"/>
      <c r="C5" s="26"/>
      <c r="D5" s="8" t="s">
        <v>10</v>
      </c>
      <c r="E5" s="9" t="s">
        <v>11</v>
      </c>
      <c r="F5" s="9" t="s">
        <v>12</v>
      </c>
      <c r="G5" s="9" t="s">
        <v>15</v>
      </c>
    </row>
    <row r="6" spans="1:7" x14ac:dyDescent="0.3">
      <c r="A6" s="19" t="s">
        <v>13</v>
      </c>
      <c r="B6" s="20"/>
      <c r="C6" s="21"/>
      <c r="D6" s="4">
        <v>54</v>
      </c>
      <c r="E6" s="5">
        <v>85</v>
      </c>
      <c r="F6" s="5">
        <v>124</v>
      </c>
      <c r="G6" s="5">
        <f>SUM($D6:$F6)</f>
        <v>263</v>
      </c>
    </row>
    <row r="7" spans="1:7" x14ac:dyDescent="0.3">
      <c r="A7" s="19" t="s">
        <v>18</v>
      </c>
      <c r="B7" s="20"/>
      <c r="C7" s="21"/>
      <c r="D7" s="4"/>
      <c r="E7" s="5"/>
      <c r="F7" s="5"/>
      <c r="G7" s="5"/>
    </row>
    <row r="8" spans="1:7" x14ac:dyDescent="0.3">
      <c r="A8" s="19" t="s">
        <v>19</v>
      </c>
      <c r="B8" s="20"/>
      <c r="C8" s="21"/>
      <c r="D8" s="4"/>
      <c r="E8" s="5"/>
      <c r="F8" s="5"/>
      <c r="G8" s="5"/>
    </row>
    <row r="9" spans="1:7" x14ac:dyDescent="0.3">
      <c r="A9" s="19" t="s">
        <v>14</v>
      </c>
      <c r="B9" s="20"/>
      <c r="C9" s="21"/>
      <c r="D9" s="4">
        <v>1</v>
      </c>
      <c r="E9" s="5">
        <v>1</v>
      </c>
      <c r="F9" s="5">
        <v>1</v>
      </c>
      <c r="G9" s="5">
        <f>SUM($D9:$F9)</f>
        <v>3</v>
      </c>
    </row>
    <row r="10" spans="1:7" x14ac:dyDescent="0.3">
      <c r="A10" s="19" t="s">
        <v>17</v>
      </c>
      <c r="B10" s="20"/>
      <c r="C10" s="21"/>
      <c r="D10" s="4"/>
      <c r="E10" s="5"/>
      <c r="F10" s="5"/>
      <c r="G10" s="5"/>
    </row>
    <row r="12" spans="1:7" x14ac:dyDescent="0.3">
      <c r="A12" s="6" t="s">
        <v>31</v>
      </c>
      <c r="B12" s="7" t="s">
        <v>15</v>
      </c>
      <c r="C12" s="7" t="s">
        <v>20</v>
      </c>
      <c r="D12" s="7" t="s">
        <v>10</v>
      </c>
      <c r="E12" s="7" t="s">
        <v>11</v>
      </c>
      <c r="F12" s="7" t="s">
        <v>12</v>
      </c>
      <c r="G12" s="7" t="s">
        <v>27</v>
      </c>
    </row>
    <row r="13" spans="1:7" x14ac:dyDescent="0.3">
      <c r="A13" s="5" t="s">
        <v>0</v>
      </c>
      <c r="B13" s="13">
        <v>4000</v>
      </c>
      <c r="C13" s="3" t="s">
        <v>13</v>
      </c>
      <c r="D13" s="16">
        <f>$B13/$G$6*D$6</f>
        <v>821.29277566539929</v>
      </c>
      <c r="E13" s="16">
        <f t="shared" ref="E13:F13" si="0">$B13/$G$6*E$6</f>
        <v>1292.7756653992396</v>
      </c>
      <c r="F13" s="16">
        <f t="shared" si="0"/>
        <v>1885.9315589353612</v>
      </c>
      <c r="G13" s="16">
        <f>$B13-SUM($D13:$F13)</f>
        <v>0</v>
      </c>
    </row>
    <row r="14" spans="1:7" x14ac:dyDescent="0.3">
      <c r="A14" s="5" t="s">
        <v>1</v>
      </c>
      <c r="B14" s="13">
        <v>2000</v>
      </c>
      <c r="C14" s="3" t="s">
        <v>13</v>
      </c>
      <c r="D14" s="16">
        <f>$B14/$G$6*$D$6</f>
        <v>410.64638783269965</v>
      </c>
      <c r="E14" s="16">
        <f>$B14/$G$6*$E$6</f>
        <v>646.38783269961982</v>
      </c>
      <c r="F14" s="16">
        <f>$B14/$G$6*$F$6</f>
        <v>942.96577946768059</v>
      </c>
      <c r="G14" s="16">
        <f t="shared" ref="G14:G25" si="1">$B14-SUM($D14:$F14)</f>
        <v>0</v>
      </c>
    </row>
    <row r="15" spans="1:7" x14ac:dyDescent="0.3">
      <c r="A15" s="5" t="s">
        <v>2</v>
      </c>
      <c r="B15" s="13">
        <v>200</v>
      </c>
      <c r="C15" s="3" t="s">
        <v>13</v>
      </c>
      <c r="D15" s="16">
        <f>$B15/$G$6*$D$6</f>
        <v>41.064638783269956</v>
      </c>
      <c r="E15" s="16">
        <f>$B15/$G$6*$E$6</f>
        <v>64.638783269961976</v>
      </c>
      <c r="F15" s="16">
        <f>$B15/$G$6*$F$6</f>
        <v>94.296577946768053</v>
      </c>
      <c r="G15" s="16">
        <f t="shared" si="1"/>
        <v>0</v>
      </c>
    </row>
    <row r="16" spans="1:7" x14ac:dyDescent="0.3">
      <c r="A16" s="5" t="s">
        <v>3</v>
      </c>
      <c r="B16" s="13">
        <v>50</v>
      </c>
      <c r="C16" s="3" t="s">
        <v>13</v>
      </c>
      <c r="D16" s="16">
        <f>$B16/$G$6*$D$6</f>
        <v>10.266159695817489</v>
      </c>
      <c r="E16" s="16">
        <f>$B16/$G$6*$E$6</f>
        <v>16.159695817490494</v>
      </c>
      <c r="F16" s="16">
        <f>$B16/$G$6*$F$6</f>
        <v>23.574144486692013</v>
      </c>
      <c r="G16" s="16">
        <f t="shared" si="1"/>
        <v>0</v>
      </c>
    </row>
    <row r="17" spans="1:7" x14ac:dyDescent="0.3">
      <c r="A17" s="5" t="s">
        <v>4</v>
      </c>
      <c r="B17" s="13">
        <v>800</v>
      </c>
      <c r="C17" s="3" t="s">
        <v>13</v>
      </c>
      <c r="D17" s="16">
        <f>$B17/$G$6*$D$6</f>
        <v>164.25855513307982</v>
      </c>
      <c r="E17" s="16">
        <f>$B17/$G$6*$E$6</f>
        <v>258.55513307984791</v>
      </c>
      <c r="F17" s="16">
        <f>$B17/$G$6*$F$6</f>
        <v>377.18631178707221</v>
      </c>
      <c r="G17" s="16">
        <f t="shared" si="1"/>
        <v>0</v>
      </c>
    </row>
    <row r="18" spans="1:7" x14ac:dyDescent="0.3">
      <c r="A18" s="5" t="s">
        <v>5</v>
      </c>
      <c r="B18" s="13">
        <v>300</v>
      </c>
      <c r="C18" s="3" t="s">
        <v>13</v>
      </c>
      <c r="D18" s="16">
        <f>$B18/$G$6*$D$6</f>
        <v>61.596958174904941</v>
      </c>
      <c r="E18" s="16">
        <f>$B18/$G$6*$E$6</f>
        <v>96.958174904942965</v>
      </c>
      <c r="F18" s="16">
        <f>$B18/$G$6*$F$6</f>
        <v>141.44486692015209</v>
      </c>
      <c r="G18" s="16">
        <f t="shared" si="1"/>
        <v>0</v>
      </c>
    </row>
    <row r="19" spans="1:7" x14ac:dyDescent="0.3">
      <c r="A19" s="5" t="s">
        <v>6</v>
      </c>
      <c r="B19" s="13">
        <v>400</v>
      </c>
      <c r="C19" s="3" t="s">
        <v>13</v>
      </c>
      <c r="D19" s="16">
        <f>$B19/$G$6*D$6</f>
        <v>82.129277566539912</v>
      </c>
      <c r="E19" s="16">
        <f t="shared" ref="E19:F19" si="2">$B19/$G$6*E$6</f>
        <v>129.27756653992395</v>
      </c>
      <c r="F19" s="16">
        <f t="shared" si="2"/>
        <v>188.59315589353611</v>
      </c>
      <c r="G19" s="16">
        <f t="shared" si="1"/>
        <v>0</v>
      </c>
    </row>
    <row r="20" spans="1:7" x14ac:dyDescent="0.3">
      <c r="A20" s="5" t="s">
        <v>7</v>
      </c>
      <c r="B20" s="13">
        <v>500</v>
      </c>
      <c r="C20" s="3" t="s">
        <v>13</v>
      </c>
      <c r="D20" s="16">
        <f>$B20/$G$6*$D$6</f>
        <v>102.66159695817491</v>
      </c>
      <c r="E20" s="16">
        <f>$B20/$G$6*$E$6</f>
        <v>161.59695817490496</v>
      </c>
      <c r="F20" s="16">
        <f>$B20/$G$6*$F$6</f>
        <v>235.74144486692015</v>
      </c>
      <c r="G20" s="16">
        <f t="shared" si="1"/>
        <v>0</v>
      </c>
    </row>
    <row r="21" spans="1:7" x14ac:dyDescent="0.3">
      <c r="A21" s="5" t="s">
        <v>8</v>
      </c>
      <c r="B21" s="13">
        <v>100</v>
      </c>
      <c r="C21" s="3" t="s">
        <v>13</v>
      </c>
      <c r="D21" s="16">
        <f>$B21/$G$6*$D$6</f>
        <v>20.532319391634978</v>
      </c>
      <c r="E21" s="16">
        <f>$B21/$G$6*$E$6</f>
        <v>32.319391634980988</v>
      </c>
      <c r="F21" s="16">
        <f>$B21/$G$6*$F$6</f>
        <v>47.148288973384027</v>
      </c>
      <c r="G21" s="16">
        <f t="shared" si="1"/>
        <v>0</v>
      </c>
    </row>
    <row r="22" spans="1:7" x14ac:dyDescent="0.3">
      <c r="A22" s="5" t="s">
        <v>9</v>
      </c>
      <c r="B22" s="13">
        <v>1250</v>
      </c>
      <c r="C22" s="3" t="s">
        <v>14</v>
      </c>
      <c r="D22" s="16">
        <f>$B22/$G$9*$D$9</f>
        <v>416.66666666666669</v>
      </c>
      <c r="E22" s="16">
        <f>$B22/$G$9*$E$9</f>
        <v>416.66666666666669</v>
      </c>
      <c r="F22" s="16">
        <f>$B22/$G$9*$F$9</f>
        <v>416.66666666666669</v>
      </c>
      <c r="G22" s="16">
        <f t="shared" si="1"/>
        <v>0</v>
      </c>
    </row>
    <row r="23" spans="1:7" x14ac:dyDescent="0.3">
      <c r="A23" s="10" t="s">
        <v>15</v>
      </c>
      <c r="B23" s="14">
        <f>SUBTOTAL(109,B13:B22)</f>
        <v>9600</v>
      </c>
      <c r="C23" s="22"/>
      <c r="D23" s="17">
        <f>SUBTOTAL(109,D13:D22)</f>
        <v>2131.1153358681877</v>
      </c>
      <c r="E23" s="17">
        <f t="shared" ref="E23:F23" si="3">SUBTOTAL(109,E13:E22)</f>
        <v>3115.3358681875793</v>
      </c>
      <c r="F23" s="17">
        <f t="shared" si="3"/>
        <v>4353.5487959442335</v>
      </c>
      <c r="G23" s="17">
        <f t="shared" si="1"/>
        <v>0</v>
      </c>
    </row>
    <row r="24" spans="1:7" x14ac:dyDescent="0.3">
      <c r="A24" s="11" t="s">
        <v>32</v>
      </c>
      <c r="B24" s="15">
        <f>SUM($D24:$F24)</f>
        <v>-9200</v>
      </c>
      <c r="C24" s="23"/>
      <c r="D24" s="18">
        <v>-2200</v>
      </c>
      <c r="E24" s="18">
        <v>-3000</v>
      </c>
      <c r="F24" s="18">
        <v>-4000</v>
      </c>
      <c r="G24" s="18">
        <f t="shared" si="1"/>
        <v>0</v>
      </c>
    </row>
    <row r="25" spans="1:7" x14ac:dyDescent="0.3">
      <c r="A25" s="5" t="s">
        <v>26</v>
      </c>
      <c r="B25" s="13">
        <f>SUM($D25:$F25)</f>
        <v>400.00000000000045</v>
      </c>
      <c r="C25" s="23"/>
      <c r="D25" s="16">
        <f>$D23+$D24</f>
        <v>-68.884664131812315</v>
      </c>
      <c r="E25" s="16">
        <f>$E23+$E24</f>
        <v>115.33586818757931</v>
      </c>
      <c r="F25" s="16">
        <f>$F23+$F24</f>
        <v>353.54879594423346</v>
      </c>
      <c r="G25" s="16">
        <f t="shared" si="1"/>
        <v>0</v>
      </c>
    </row>
    <row r="27" spans="1:7" x14ac:dyDescent="0.3">
      <c r="A27" s="12" t="s">
        <v>21</v>
      </c>
      <c r="B27" s="7" t="s">
        <v>24</v>
      </c>
      <c r="C27" s="7" t="s">
        <v>12</v>
      </c>
      <c r="D27" s="7" t="s">
        <v>25</v>
      </c>
      <c r="E27" s="7" t="s">
        <v>26</v>
      </c>
    </row>
    <row r="28" spans="1:7" x14ac:dyDescent="0.3">
      <c r="A28" s="5" t="s">
        <v>22</v>
      </c>
      <c r="B28" s="5">
        <v>10</v>
      </c>
      <c r="C28" s="13">
        <f>$F$23/12*10</f>
        <v>3627.9573299535282</v>
      </c>
      <c r="D28" s="13">
        <v>-3500</v>
      </c>
      <c r="E28" s="13">
        <f t="shared" ref="E28:E29" si="4">$C28+$D28</f>
        <v>127.95732995352819</v>
      </c>
    </row>
    <row r="29" spans="1:7" x14ac:dyDescent="0.3">
      <c r="A29" s="5" t="s">
        <v>23</v>
      </c>
      <c r="B29" s="5">
        <v>2</v>
      </c>
      <c r="C29" s="13">
        <f>$F$23/12*2</f>
        <v>725.59146599070561</v>
      </c>
      <c r="D29" s="13">
        <v>-500</v>
      </c>
      <c r="E29" s="13">
        <f t="shared" si="4"/>
        <v>225.59146599070561</v>
      </c>
    </row>
  </sheetData>
  <mergeCells count="7">
    <mergeCell ref="A10:C10"/>
    <mergeCell ref="C23:C25"/>
    <mergeCell ref="A5:C5"/>
    <mergeCell ref="A6:C6"/>
    <mergeCell ref="A7:C7"/>
    <mergeCell ref="A8:C8"/>
    <mergeCell ref="A9:C9"/>
  </mergeCells>
  <conditionalFormatting sqref="E28:E29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D25:F2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ignoredErrors>
    <ignoredError sqref="D19:F1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Conguagli</vt:lpstr>
      <vt:lpstr>Conguagli pro-rata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Pasquillo</dc:creator>
  <cp:lastModifiedBy>Patrick Pasquillo</cp:lastModifiedBy>
  <cp:lastPrinted>2024-05-16T07:53:22Z</cp:lastPrinted>
  <dcterms:created xsi:type="dcterms:W3CDTF">2024-05-15T12:09:08Z</dcterms:created>
  <dcterms:modified xsi:type="dcterms:W3CDTF">2025-12-22T09:38:47Z</dcterms:modified>
</cp:coreProperties>
</file>